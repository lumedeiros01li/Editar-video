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Retornos anuais" sheetId="2" state="visible" r:id="rId4"/>
    <sheet name="Base 100 - 2000" sheetId="3" state="visible" r:id="rId5"/>
    <sheet name="Base 100 - 2005" sheetId="4" state="visible" r:id="rId6"/>
    <sheet name="Fontes e not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<sst xmlns="http://schemas.openxmlformats.org/spreadsheetml/2006/main" count="164" uniqueCount="73">
  <si>
    <t xml:space="preserve">Poupança x Selic x Ouro x Ibovespa x S&amp;P 500 (em R$)</t>
  </si>
  <si>
    <t xml:space="preserve">Quanto R$ 100 viraram até 30/09/2026 (valores brutos, sem imposto)</t>
  </si>
  <si>
    <t xml:space="preserve">25 anos: base 31/12/2000</t>
  </si>
  <si>
    <t xml:space="preserve">Anos de período</t>
  </si>
  <si>
    <t xml:space="preserve">(de 31/12 do ano-base até 30/09/2026)</t>
  </si>
  <si>
    <t xml:space="preserve">Ativo</t>
  </si>
  <si>
    <t xml:space="preserve">R$ 100 viraram</t>
  </si>
  <si>
    <t xml:space="preserve">Múltiplo (x)</t>
  </si>
  <si>
    <t xml:space="preserve">Ao ano (CAGR)</t>
  </si>
  <si>
    <t xml:space="preserve">Acima da inflação (total)</t>
  </si>
  <si>
    <t xml:space="preserve">Acima da inflação (ao ano)</t>
  </si>
  <si>
    <t xml:space="preserve">Poupança</t>
  </si>
  <si>
    <t xml:space="preserve">CDI (Selic)</t>
  </si>
  <si>
    <t xml:space="preserve">Ouro (R$)</t>
  </si>
  <si>
    <t xml:space="preserve">Ibovespa</t>
  </si>
  <si>
    <t xml:space="preserve">S&amp;P 500 (R$)</t>
  </si>
  <si>
    <t xml:space="preserve">Dólar</t>
  </si>
  <si>
    <t xml:space="preserve">IPCA (inflação)</t>
  </si>
  <si>
    <t xml:space="preserve">20 anos: base 31/12/2005</t>
  </si>
  <si>
    <t xml:space="preserve">Ibovespa e S&amp;P 500 sem dividendos. Rentabilidade passada não garante resultado futuro. Ver aba "Fontes e notas".</t>
  </si>
  <si>
    <t xml:space="preserve">Ano</t>
  </si>
  <si>
    <t xml:space="preserve">IPCA</t>
  </si>
  <si>
    <t xml:space="preserve">Dólar (Ptax)</t>
  </si>
  <si>
    <t xml:space="preserve">S&amp;P 500 (US$)</t>
  </si>
  <si>
    <t xml:space="preserve">Ouro (US$)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</si>
  <si>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</si>
  <si>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</si>
  <si>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</si>
  <si>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</si>
  <si>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</si>
  <si>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</si>
  <si>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</si>
  <si>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</si>
  <si>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</si>
  <si>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</si>
  <si>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</si>
  <si>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</si>
  <si>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</si>
  <si>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</si>
  <si>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</si>
  <si>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</si>
  <si>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</si>
  <si>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</si>
  <si>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</si>
  <si>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</si>
  <si>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</si>
  <si>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</si>
  <si>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</si>
  <si>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</si>
  <si>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</si>
  <si>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</si>
  <si>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2026*</t>
  </si>
  <si>
    <t xml:space="preserve">* 2026: acumulado de 31/12/2025 até 30/09/2026. Demais anos: 31/12 a 31/12.</t>
  </si>
  <si>
    <t xml:space="preserve">Células em azul = dados de entrada. Em preto = fórmulas. Valores em fração (0,10 = 10%).</t>
  </si>
  <si>
    <t xml:space="preserve">Ibovespa e S&amp;P 500 são índices de preço (sem dividendos). CDI e poupança já incluem os juros.</t>
  </si>
  <si>
    <t xml:space="preserve">S&amp;P 500 e ouro em US$ usam média mensal de dezembro (setembro em 2026), não o fechamento do dia 31. Para exatidão, troque pelos fechamentos.</t>
  </si>
  <si>
    <t xml:space="preserve">Detalhes das fontes na aba "Fontes e notas".</t>
  </si>
  <si>
    <t xml:space="preserve">Base 100 em 31/12/2000. Cada linha = linha anterior x (1 + retorno do ano). 2026* até 30/09.</t>
  </si>
  <si>
    <t xml:space="preserve">Base 100 em 31/12/2005. Cada linha = linha anterior x (1 + retorno do ano). 2026* até 30/09.</t>
  </si>
  <si>
    <t xml:space="preserve">Série</t>
  </si>
  <si>
    <t xml:space="preserve">Fonte e observação</t>
  </si>
  <si>
    <t xml:space="preserve">CDI</t>
  </si>
  <si>
    <t xml:space="preserve">Banco Central via meusdividendos.com e renovainvest.com.br (2001 a 2025). 2000 e 2026: clubedospoupadores.com e BCB. 2026 até set: 10,50%.</t>
  </si>
  <si>
    <t xml:space="preserve">IBGE. 2000 a 2024: Clube dos Poupadores. 2025: 4,26%. 2026 até set: 3,95% (IPCA de setembro, divulgado em 09/10/2026).</t>
  </si>
  <si>
    <t xml:space="preserve">Ptax de fim de ano. 2000 a 2024: Clube dos Poupadores. 2025: R$ 5,50 contra R$ 6,19. 2026: R$ 5,17 em set/2026 (Nomad), cerca de -6,0% no ano.</t>
  </si>
  <si>
    <t xml:space="preserve">Variação do índice (sem dividendos). 2000 a 2024: Clube dos Poupadores. 2025: +33,95% (Sicredi). 2026 até 30/09: +15,65% (Seu Dinheiro).</t>
  </si>
  <si>
    <t xml:space="preserve">2000 a 2012: rendimento mensal composto (iDinheiro, regra antiga). 2013 a 2025: regra atual, série BCB 195 (numerando.com.br). 2026: 9 meses compostos.</t>
  </si>
  <si>
    <t xml:space="preserve">Índice de preço, média mensal (datahub.io/core/s-and-p-500, base Shiller). Usa média de dezembro como proxy do fim do ano. Setembro em 2026.</t>
  </si>
  <si>
    <t xml:space="preserve">Preço por onça, média mensal (datahub.io/core/gold-prices). Mesma observação: média de dezembro como proxy. Setembro em 2026.</t>
  </si>
  <si>
    <t xml:space="preserve">S&amp;P 500 e Ouro em R$</t>
  </si>
  <si>
    <t xml:space="preserve">Fórmula: (1 + retorno em US$) x (1 + variação do dólar) - 1. Aproxima o que o investidor brasileiro teria com IVVB11 e GOLD11, sem custos e sem imposto.</t>
  </si>
  <si>
    <t xml:space="preserve">Limitações</t>
  </si>
  <si>
    <t xml:space="preserve">Dados anuais escondem quedas dentro do ano. Valores brutos, sem IR e sem taxas. Antes de publicar, confira os números contra o Banco Central, Yahoo Finance ou Investing.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</si>
</sst>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#,##0"/>
    <numFmt numFmtId="167" formatCode="0.0\x"/>
    <numFmt numFmtId="168" formatCode="0.0%"/>
    <numFmt numFmtId="169" formatCode="0%;[RED]\-0%"/>
    <numFmt numFmtId="170" formatCode="0.0%;[RED]\-0.0%"/>
    <numFmt numFmtId="171" formatCode="#,##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7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25.75</v>
      </c>
      <c r="C5" s="6" t="s">
        <v>4</v>
      </c>
    </row>
    <row r="7" customFormat="false" ht="31.5" hidden="false" customHeight="true" outlineLevel="0" collapsed="false">
      <c r="A7" s="7" t="s">
        <v>5</v>
      </c>
      <c r="B7" s="7" t="s">
        <v>6</v>
      </c>
      <c r="C7" s="7" t="s">
        <v>7</v>
      </c>
      <c r="D7" s="7" t="s">
        <v>8</v>
      </c>
      <c r="E7" s="7" t="s">
        <v>9</v>
      </c>
      <c r="F7" s="7" t="s">
        <v>10</v>
      </c>
    </row>
    <row r="8" customFormat="false" ht="15" hidden="false" customHeight="false" outlineLevel="0" collapsed="false">
      <c r="A8" s="8" t="s">
        <v>11</v>
      </c>
      <c r="B8" s="9" t="n">
        <f aca="false">'Base 100 - 2000'!B28</f>
        <v>592.67469754401</v>
      </c>
      <c r="C8" s="10" t="n">
        <f aca="false">B8/100</f>
        <v>5.9267469754401</v>
      </c>
      <c r="D8" s="11" t="n">
        <f aca="false">(B8/100)^(1/$B$5)-1</f>
        <v>0.0715496206079045</v>
      </c>
      <c r="E8" s="12" t="n">
        <f aca="false">B8/$B$14-1</f>
        <v>0.298472956567702</v>
      </c>
      <c r="F8" s="13" t="n">
        <f aca="false">(B8/$B$14)^(1/$B$5)-1</f>
        <v>0.0101948764609603</v>
      </c>
    </row>
    <row r="9" customFormat="false" ht="15" hidden="false" customHeight="false" outlineLevel="0" collapsed="false">
      <c r="A9" s="8" t="s">
        <v>12</v>
      </c>
      <c r="B9" s="9" t="n">
        <f aca="false">'Base 100 - 2000'!C28</f>
        <v>1835.75363506027</v>
      </c>
      <c r="C9" s="10" t="n">
        <f aca="false">B9/100</f>
        <v>18.3575363506027</v>
      </c>
      <c r="D9" s="11" t="n">
        <f aca="false">(B9/100)^(1/$B$5)-1</f>
        <v>0.119644550749434</v>
      </c>
      <c r="E9" s="12" t="n">
        <f aca="false">B9/$B$14-1</f>
        <v>3.0218967671884</v>
      </c>
      <c r="F9" s="13" t="n">
        <f aca="false">(B9/$B$14)^(1/$B$5)-1</f>
        <v>0.0555359890686598</v>
      </c>
    </row>
    <row r="10" customFormat="false" ht="15" hidden="false" customHeight="false" outlineLevel="0" collapsed="false">
      <c r="A10" s="8" t="s">
        <v>13</v>
      </c>
      <c r="B10" s="9" t="n">
        <f aca="false">'Base 100 - 2000'!D28</f>
        <v>4211.86252438113</v>
      </c>
      <c r="C10" s="10" t="n">
        <f aca="false">B10/100</f>
        <v>42.1186252438113</v>
      </c>
      <c r="D10" s="11" t="n">
        <f aca="false">(B10/100)^(1/$B$5)-1</f>
        <v>0.156342202566163</v>
      </c>
      <c r="E10" s="12" t="n">
        <f aca="false">B10/$B$14-1</f>
        <v>8.22764141501716</v>
      </c>
      <c r="F10" s="13" t="n">
        <f aca="false">(B10/$B$14)^(1/$B$5)-1</f>
        <v>0.0901324082455677</v>
      </c>
    </row>
    <row r="11" customFormat="false" ht="15" hidden="false" customHeight="false" outlineLevel="0" collapsed="false">
      <c r="A11" s="8" t="s">
        <v>14</v>
      </c>
      <c r="B11" s="9" t="n">
        <f aca="false">'Base 100 - 2000'!E28</f>
        <v>1221.83334086711</v>
      </c>
      <c r="C11" s="10" t="n">
        <f aca="false">B11/100</f>
        <v>12.2183334086711</v>
      </c>
      <c r="D11" s="11" t="n">
        <f aca="false">(B11/100)^(1/$B$5)-1</f>
        <v>0.102082375368551</v>
      </c>
      <c r="E11" s="12" t="n">
        <f aca="false">B11/$B$14-1</f>
        <v>1.67687747953994</v>
      </c>
      <c r="F11" s="13" t="n">
        <f aca="false">(B11/$B$14)^(1/$B$5)-1</f>
        <v>0.0389793880041081</v>
      </c>
    </row>
    <row r="12" customFormat="false" ht="15" hidden="false" customHeight="false" outlineLevel="0" collapsed="false">
      <c r="A12" s="8" t="s">
        <v>15</v>
      </c>
      <c r="B12" s="9" t="n">
        <f aca="false">'Base 100 - 2000'!F28</f>
        <v>1522.52810556546</v>
      </c>
      <c r="C12" s="10" t="n">
        <f aca="false">B12/100</f>
        <v>15.2252810556546</v>
      </c>
      <c r="D12" s="11" t="n">
        <f aca="false">(B12/100)^(1/$B$5)-1</f>
        <v>0.111539413504515</v>
      </c>
      <c r="E12" s="12" t="n">
        <f aca="false">B12/$B$14-1</f>
        <v>2.33566048775721</v>
      </c>
      <c r="F12" s="13" t="n">
        <f aca="false">(B12/$B$14)^(1/$B$5)-1</f>
        <v>0.0478949354390721</v>
      </c>
    </row>
    <row r="13" customFormat="false" ht="15" hidden="false" customHeight="false" outlineLevel="0" collapsed="false">
      <c r="A13" s="8" t="s">
        <v>16</v>
      </c>
      <c r="B13" s="9" t="n">
        <f aca="false">'Base 100 - 2000'!G28</f>
        <v>264.279100198665</v>
      </c>
      <c r="C13" s="10" t="n">
        <f aca="false">B13/100</f>
        <v>2.64279100198665</v>
      </c>
      <c r="D13" s="11" t="n">
        <f aca="false">(B13/100)^(1/$B$5)-1</f>
        <v>0.03846243016292</v>
      </c>
      <c r="E13" s="12" t="n">
        <f aca="false">B13/$B$14-1</f>
        <v>-0.420998962810403</v>
      </c>
      <c r="F13" s="13" t="n">
        <f aca="false">(B13/$B$14)^(1/$B$5)-1</f>
        <v>-0.0209978089930734</v>
      </c>
    </row>
    <row r="14" customFormat="false" ht="15" hidden="false" customHeight="false" outlineLevel="0" collapsed="false">
      <c r="A14" s="8" t="s">
        <v>17</v>
      </c>
      <c r="B14" s="9" t="n">
        <f aca="false">'Base 100 - 2000'!H28</f>
        <v>456.439769920698</v>
      </c>
      <c r="C14" s="10" t="n">
        <f aca="false">B14/100</f>
        <v>4.56439769920698</v>
      </c>
      <c r="D14" s="11" t="n">
        <f aca="false">(B14/100)^(1/$B$5)-1</f>
        <v>0.0607355526904767</v>
      </c>
      <c r="E14" s="12" t="n">
        <f aca="false">B14/$B$14-1</f>
        <v>0</v>
      </c>
      <c r="F14" s="13" t="n">
        <f aca="false">(B14/$B$14)^(1/$B$5)-1</f>
        <v>0</v>
      </c>
    </row>
    <row r="17" customFormat="false" ht="15" hidden="false" customHeight="false" outlineLevel="0" collapsed="false">
      <c r="A17" s="3" t="s">
        <v>18</v>
      </c>
    </row>
    <row r="18" customFormat="false" ht="15" hidden="false" customHeight="false" outlineLevel="0" collapsed="false">
      <c r="A18" s="4" t="s">
        <v>3</v>
      </c>
      <c r="B18" s="5" t="n">
        <v>20.75</v>
      </c>
      <c r="C18" s="6" t="s">
        <v>4</v>
      </c>
    </row>
    <row r="20" customFormat="false" ht="31.5" hidden="false" customHeight="true" outlineLevel="0" collapsed="false">
      <c r="A20" s="7" t="s">
        <v>5</v>
      </c>
      <c r="B20" s="7" t="s">
        <v>6</v>
      </c>
      <c r="C20" s="7" t="s">
        <v>7</v>
      </c>
      <c r="D20" s="7" t="s">
        <v>8</v>
      </c>
      <c r="E20" s="7" t="s">
        <v>9</v>
      </c>
      <c r="F20" s="7" t="s">
        <v>10</v>
      </c>
    </row>
    <row r="21" customFormat="false" ht="15" hidden="false" customHeight="false" outlineLevel="0" collapsed="false">
      <c r="A21" s="8" t="s">
        <v>11</v>
      </c>
      <c r="B21" s="9" t="n">
        <f aca="false">'Base 100 - 2005'!B23</f>
        <v>381.206712705105</v>
      </c>
      <c r="C21" s="10" t="n">
        <f aca="false">B21/100</f>
        <v>3.81206712705105</v>
      </c>
      <c r="D21" s="11" t="n">
        <f aca="false">(B21/100)^(1/$B$18)-1</f>
        <v>0.0666151225401721</v>
      </c>
      <c r="E21" s="12" t="n">
        <f aca="false">B21/$B$27-1</f>
        <v>0.257919090446553</v>
      </c>
      <c r="F21" s="13" t="n">
        <f aca="false">(B21/$B$27)^(1/$B$18)-1</f>
        <v>0.0111196258874933</v>
      </c>
    </row>
    <row r="22" customFormat="false" ht="15" hidden="false" customHeight="false" outlineLevel="0" collapsed="false">
      <c r="A22" s="8" t="s">
        <v>12</v>
      </c>
      <c r="B22" s="9" t="n">
        <f aca="false">'Base 100 - 2005'!C23</f>
        <v>771.548948273805</v>
      </c>
      <c r="C22" s="10" t="n">
        <f aca="false">B22/100</f>
        <v>7.71548948273805</v>
      </c>
      <c r="D22" s="11" t="n">
        <f aca="false">(B22/100)^(1/$B$18)-1</f>
        <v>0.103480099158686</v>
      </c>
      <c r="E22" s="12" t="n">
        <f aca="false">B22/$B$27-1</f>
        <v>1.54598389509047</v>
      </c>
      <c r="F22" s="13" t="n">
        <f aca="false">(B22/$B$27)^(1/$B$18)-1</f>
        <v>0.0460665346450704</v>
      </c>
    </row>
    <row r="23" customFormat="false" ht="15" hidden="false" customHeight="false" outlineLevel="0" collapsed="false">
      <c r="A23" s="8" t="s">
        <v>13</v>
      </c>
      <c r="B23" s="9" t="n">
        <f aca="false">'Base 100 - 2005'!D23</f>
        <v>1867.15426801449</v>
      </c>
      <c r="C23" s="10" t="n">
        <f aca="false">B23/100</f>
        <v>18.6715426801449</v>
      </c>
      <c r="D23" s="11" t="n">
        <f aca="false">(B23/100)^(1/$B$18)-1</f>
        <v>0.151494045355461</v>
      </c>
      <c r="E23" s="12" t="n">
        <f aca="false">B23/$B$27-1</f>
        <v>5.1613002086905</v>
      </c>
      <c r="F23" s="13" t="n">
        <f aca="false">(B23/$B$27)^(1/$B$18)-1</f>
        <v>0.0915823371964597</v>
      </c>
    </row>
    <row r="24" customFormat="false" ht="15" hidden="false" customHeight="false" outlineLevel="0" collapsed="false">
      <c r="A24" s="8" t="s">
        <v>14</v>
      </c>
      <c r="B24" s="9" t="n">
        <f aca="false">'Base 100 - 2005'!E23</f>
        <v>557.289165476167</v>
      </c>
      <c r="C24" s="10" t="n">
        <f aca="false">B24/100</f>
        <v>5.57289165476167</v>
      </c>
      <c r="D24" s="11" t="n">
        <f aca="false">(B24/100)^(1/$B$18)-1</f>
        <v>0.0863147878269581</v>
      </c>
      <c r="E24" s="12" t="n">
        <f aca="false">B24/$B$27-1</f>
        <v>0.838962055985093</v>
      </c>
      <c r="F24" s="13" t="n">
        <f aca="false">(B24/$B$27)^(1/$B$18)-1</f>
        <v>0.0297943266056369</v>
      </c>
    </row>
    <row r="25" customFormat="false" ht="15" hidden="false" customHeight="false" outlineLevel="0" collapsed="false">
      <c r="A25" s="8" t="s">
        <v>15</v>
      </c>
      <c r="B25" s="9" t="n">
        <f aca="false">'Base 100 - 2005'!F23</f>
        <v>1339.57901522376</v>
      </c>
      <c r="C25" s="10" t="n">
        <f aca="false">B25/100</f>
        <v>13.3957901522376</v>
      </c>
      <c r="D25" s="11" t="n">
        <f aca="false">(B25/100)^(1/$B$18)-1</f>
        <v>0.133213467063622</v>
      </c>
      <c r="E25" s="12" t="n">
        <f aca="false">B25/$B$27-1</f>
        <v>3.42038914911531</v>
      </c>
      <c r="F25" s="13" t="n">
        <f aca="false">(B25/$B$27)^(1/$B$18)-1</f>
        <v>0.0742528890264098</v>
      </c>
    </row>
    <row r="26" customFormat="false" ht="15" hidden="false" customHeight="false" outlineLevel="0" collapsed="false">
      <c r="A26" s="8" t="s">
        <v>16</v>
      </c>
      <c r="B26" s="9" t="n">
        <f aca="false">'Base 100 - 2005'!G23</f>
        <v>220.482841353749</v>
      </c>
      <c r="C26" s="10" t="n">
        <f aca="false">B26/100</f>
        <v>2.20482841353749</v>
      </c>
      <c r="D26" s="11" t="n">
        <f aca="false">(B26/100)^(1/$B$18)-1</f>
        <v>0.0388388504520849</v>
      </c>
      <c r="E26" s="12" t="n">
        <f aca="false">B26/$B$27-1</f>
        <v>-0.272443097114787</v>
      </c>
      <c r="F26" s="13" t="n">
        <f aca="false">(B26/$B$27)^(1/$B$18)-1</f>
        <v>-0.0152114594766168</v>
      </c>
    </row>
    <row r="27" customFormat="false" ht="15" hidden="false" customHeight="false" outlineLevel="0" collapsed="false">
      <c r="A27" s="8" t="s">
        <v>17</v>
      </c>
      <c r="B27" s="9" t="n">
        <f aca="false">'Base 100 - 2005'!H23</f>
        <v>303.045494420296</v>
      </c>
      <c r="C27" s="10" t="n">
        <f aca="false">B27/100</f>
        <v>3.03045494420296</v>
      </c>
      <c r="D27" s="11" t="n">
        <f aca="false">(B27/100)^(1/$B$18)-1</f>
        <v>0.054885193830521</v>
      </c>
      <c r="E27" s="12" t="n">
        <f aca="false">B27/$B$27-1</f>
        <v>0</v>
      </c>
      <c r="F27" s="13" t="n">
        <f aca="false">(B27/$B$27)^(1/$B$18)-1</f>
        <v>0</v>
      </c>
    </row>
    <row r="30" customFormat="false" ht="15" hidden="false" customHeight="false" outlineLevel="0" collapsed="false">
      <c r="A30" s="6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0" min="2" style="0" width="13"/>
  </cols>
  <sheetData>
    <row r="1" customFormat="false" ht="30" hidden="false" customHeight="true" outlineLevel="0" collapsed="false">
      <c r="A1" s="7" t="s">
        <v>20</v>
      </c>
      <c r="B1" s="7" t="s">
        <v>11</v>
      </c>
      <c r="C1" s="7" t="s">
        <v>12</v>
      </c>
      <c r="D1" s="7" t="s">
        <v>21</v>
      </c>
      <c r="E1" s="7" t="s">
        <v>22</v>
      </c>
      <c r="F1" s="7" t="s">
        <v>14</v>
      </c>
      <c r="G1" s="7" t="s">
        <v>23</v>
      </c>
      <c r="H1" s="7" t="s">
        <v>24</v>
      </c>
      <c r="I1" s="7" t="s">
        <v>15</v>
      </c>
      <c r="J1" s="7" t="s">
        <v>13</v>
      </c>
    </row>
    <row r="2" customFormat="false" ht="15" hidden="false" customHeight="false" outlineLevel="0" collapsed="false">
      <c r="A2" s="3" t="s">
        <v>25</v>
      </c>
      <c r="B2" s="14" t="n">
        <v>0.084</v>
      </c>
      <c r="C2" s="14" t="n">
        <v>0.173</v>
      </c>
      <c r="D2" s="14" t="n">
        <v>0.06</v>
      </c>
      <c r="E2" s="14" t="n">
        <v>0.093</v>
      </c>
      <c r="F2" s="14" t="n">
        <v>-0.107</v>
      </c>
      <c r="G2" s="14" t="n">
        <v>-0.0684</v>
      </c>
      <c r="H2" s="14" t="n">
        <v>-0.0424</v>
      </c>
      <c r="I2" s="13" t="n">
        <f aca="false">(1+G2)*(1+E2)-1</f>
        <v>0.0182388</v>
      </c>
      <c r="J2" s="13" t="n">
        <f aca="false">(1+H2)*(1+E2)-1</f>
        <v>0.0466568000000001</v>
      </c>
    </row>
    <row r="3" customFormat="false" ht="15" hidden="false" customHeight="false" outlineLevel="0" collapsed="false">
      <c r="A3" s="3" t="s">
        <v>26</v>
      </c>
      <c r="B3" s="14" t="n">
        <v>0.086</v>
      </c>
      <c r="C3" s="14" t="n">
        <v>0.1726</v>
      </c>
      <c r="D3" s="14" t="n">
        <v>0.077</v>
      </c>
      <c r="E3" s="14" t="n">
        <v>0.187</v>
      </c>
      <c r="F3" s="14" t="n">
        <v>-0.11</v>
      </c>
      <c r="G3" s="14" t="n">
        <v>-0.1398</v>
      </c>
      <c r="H3" s="14" t="n">
        <v>0.0185</v>
      </c>
      <c r="I3" s="13" t="n">
        <f aca="false">(1+G3)*(1+E3)-1</f>
        <v>0.0210574000000001</v>
      </c>
      <c r="J3" s="13" t="n">
        <f aca="false">(1+H3)*(1+E3)-1</f>
        <v>0.2089595</v>
      </c>
    </row>
    <row r="4" customFormat="false" ht="15" hidden="false" customHeight="false" outlineLevel="0" collapsed="false">
      <c r="A4" s="3" t="s">
        <v>27</v>
      </c>
      <c r="B4" s="14" t="n">
        <v>0.0916</v>
      </c>
      <c r="C4" s="14" t="n">
        <v>0.1909</v>
      </c>
      <c r="D4" s="14" t="n">
        <v>0.125</v>
      </c>
      <c r="E4" s="14" t="n">
        <v>0.523</v>
      </c>
      <c r="F4" s="14" t="n">
        <v>-0.17</v>
      </c>
      <c r="G4" s="14" t="n">
        <v>-0.2146</v>
      </c>
      <c r="H4" s="14" t="n">
        <v>0.2029</v>
      </c>
      <c r="I4" s="13" t="n">
        <f aca="false">(1+G4)*(1+E4)-1</f>
        <v>0.1961642</v>
      </c>
      <c r="J4" s="13" t="n">
        <f aca="false">(1+H4)*(1+E4)-1</f>
        <v>0.8320167</v>
      </c>
    </row>
    <row r="5" customFormat="false" ht="15" hidden="false" customHeight="false" outlineLevel="0" collapsed="false">
      <c r="A5" s="3" t="s">
        <v>28</v>
      </c>
      <c r="B5" s="14" t="n">
        <v>0.1111</v>
      </c>
      <c r="C5" s="14" t="n">
        <v>0.2326</v>
      </c>
      <c r="D5" s="14" t="n">
        <v>0.093</v>
      </c>
      <c r="E5" s="14" t="n">
        <v>-0.182</v>
      </c>
      <c r="F5" s="14" t="n">
        <v>0.973</v>
      </c>
      <c r="G5" s="14" t="n">
        <v>0.2018</v>
      </c>
      <c r="H5" s="14" t="n">
        <v>0.2259</v>
      </c>
      <c r="I5" s="13" t="n">
        <f aca="false">(1+G5)*(1+E5)-1</f>
        <v>-0.0169275999999999</v>
      </c>
      <c r="J5" s="13" t="n">
        <f aca="false">(1+H5)*(1+E5)-1</f>
        <v>0.00278620000000007</v>
      </c>
    </row>
    <row r="6" customFormat="false" ht="15" hidden="false" customHeight="false" outlineLevel="0" collapsed="false">
      <c r="A6" s="3" t="s">
        <v>29</v>
      </c>
      <c r="B6" s="14" t="n">
        <v>0.0812</v>
      </c>
      <c r="C6" s="14" t="n">
        <v>0.1616</v>
      </c>
      <c r="D6" s="14" t="n">
        <v>0.076</v>
      </c>
      <c r="E6" s="14" t="n">
        <v>-0.081</v>
      </c>
      <c r="F6" s="14" t="n">
        <v>0.178</v>
      </c>
      <c r="G6" s="14" t="n">
        <v>0.1097</v>
      </c>
      <c r="H6" s="14" t="n">
        <v>0.086</v>
      </c>
      <c r="I6" s="13" t="n">
        <f aca="false">(1+G6)*(1+E6)-1</f>
        <v>0.0198143</v>
      </c>
      <c r="J6" s="13" t="n">
        <f aca="false">(1+H6)*(1+E6)-1</f>
        <v>-0.00196599999999991</v>
      </c>
    </row>
    <row r="7" customFormat="false" ht="15" hidden="false" customHeight="false" outlineLevel="0" collapsed="false">
      <c r="A7" s="3" t="s">
        <v>30</v>
      </c>
      <c r="B7" s="14" t="n">
        <v>0.0917</v>
      </c>
      <c r="C7" s="14" t="n">
        <v>0.19</v>
      </c>
      <c r="D7" s="14" t="n">
        <v>0.057</v>
      </c>
      <c r="E7" s="14" t="n">
        <v>-0.118</v>
      </c>
      <c r="F7" s="14" t="n">
        <v>0.277</v>
      </c>
      <c r="G7" s="14" t="n">
        <v>0.0524</v>
      </c>
      <c r="H7" s="14" t="n">
        <v>0.1538</v>
      </c>
      <c r="I7" s="13" t="n">
        <f aca="false">(1+G7)*(1+E7)-1</f>
        <v>-0.0717832000000001</v>
      </c>
      <c r="J7" s="13" t="n">
        <f aca="false">(1+H7)*(1+E7)-1</f>
        <v>0.0176516</v>
      </c>
    </row>
    <row r="8" customFormat="false" ht="15" hidden="false" customHeight="false" outlineLevel="0" collapsed="false">
      <c r="A8" s="3" t="s">
        <v>31</v>
      </c>
      <c r="B8" s="14" t="n">
        <v>0.0832</v>
      </c>
      <c r="C8" s="14" t="n">
        <v>0.1504</v>
      </c>
      <c r="D8" s="14" t="n">
        <v>0.031</v>
      </c>
      <c r="E8" s="14" t="n">
        <v>-0.087</v>
      </c>
      <c r="F8" s="14" t="n">
        <v>0.329</v>
      </c>
      <c r="G8" s="14" t="n">
        <v>0.1223</v>
      </c>
      <c r="H8" s="14" t="n">
        <v>0.2353</v>
      </c>
      <c r="I8" s="13" t="n">
        <f aca="false">(1+G8)*(1+E8)-1</f>
        <v>0.0246599000000001</v>
      </c>
      <c r="J8" s="13" t="n">
        <f aca="false">(1+H8)*(1+E8)-1</f>
        <v>0.1278289</v>
      </c>
    </row>
    <row r="9" customFormat="false" ht="15" hidden="false" customHeight="false" outlineLevel="0" collapsed="false">
      <c r="A9" s="3" t="s">
        <v>32</v>
      </c>
      <c r="B9" s="14" t="n">
        <v>0.0771</v>
      </c>
      <c r="C9" s="14" t="n">
        <v>0.1181</v>
      </c>
      <c r="D9" s="14" t="n">
        <v>0.045</v>
      </c>
      <c r="E9" s="14" t="n">
        <v>-0.172</v>
      </c>
      <c r="F9" s="14" t="n">
        <v>0.437</v>
      </c>
      <c r="G9" s="14" t="n">
        <v>0.0443</v>
      </c>
      <c r="H9" s="14" t="n">
        <v>0.2746</v>
      </c>
      <c r="I9" s="13" t="n">
        <f aca="false">(1+G9)*(1+E9)-1</f>
        <v>-0.1353196</v>
      </c>
      <c r="J9" s="13" t="n">
        <f aca="false">(1+H9)*(1+E9)-1</f>
        <v>0.0553688000000001</v>
      </c>
    </row>
    <row r="10" customFormat="false" ht="15" hidden="false" customHeight="false" outlineLevel="0" collapsed="false">
      <c r="A10" s="3" t="s">
        <v>33</v>
      </c>
      <c r="B10" s="14" t="n">
        <v>0.079</v>
      </c>
      <c r="C10" s="14" t="n">
        <v>0.1238</v>
      </c>
      <c r="D10" s="14" t="n">
        <v>0.059</v>
      </c>
      <c r="E10" s="14" t="n">
        <v>0.319</v>
      </c>
      <c r="F10" s="14" t="n">
        <v>-0.412</v>
      </c>
      <c r="G10" s="14" t="n">
        <v>-0.4067</v>
      </c>
      <c r="H10" s="14" t="n">
        <v>0.0162</v>
      </c>
      <c r="I10" s="13" t="n">
        <f aca="false">(1+G10)*(1+E10)-1</f>
        <v>-0.2174373</v>
      </c>
      <c r="J10" s="13" t="n">
        <f aca="false">(1+H10)*(1+E10)-1</f>
        <v>0.3403678</v>
      </c>
    </row>
    <row r="11" customFormat="false" ht="15" hidden="false" customHeight="false" outlineLevel="0" collapsed="false">
      <c r="A11" s="3" t="s">
        <v>34</v>
      </c>
      <c r="B11" s="14" t="n">
        <v>0.0693</v>
      </c>
      <c r="C11" s="14" t="n">
        <v>0.0987</v>
      </c>
      <c r="D11" s="14" t="n">
        <v>0.043</v>
      </c>
      <c r="E11" s="14" t="n">
        <v>-0.255</v>
      </c>
      <c r="F11" s="14" t="n">
        <v>0.827</v>
      </c>
      <c r="G11" s="14" t="n">
        <v>0.2653</v>
      </c>
      <c r="H11" s="14" t="n">
        <v>0.3909</v>
      </c>
      <c r="I11" s="13" t="n">
        <f aca="false">(1+G11)*(1+E11)-1</f>
        <v>-0.0573515000000001</v>
      </c>
      <c r="J11" s="13" t="n">
        <f aca="false">(1+H11)*(1+E11)-1</f>
        <v>0.0362205</v>
      </c>
    </row>
    <row r="12" customFormat="false" ht="15" hidden="false" customHeight="false" outlineLevel="0" collapsed="false">
      <c r="A12" s="3" t="s">
        <v>35</v>
      </c>
      <c r="B12" s="14" t="n">
        <v>0.069</v>
      </c>
      <c r="C12" s="14" t="n">
        <v>0.0976</v>
      </c>
      <c r="D12" s="14" t="n">
        <v>0.059</v>
      </c>
      <c r="E12" s="14" t="n">
        <v>-0.043</v>
      </c>
      <c r="F12" s="14" t="n">
        <v>0.01</v>
      </c>
      <c r="G12" s="14" t="n">
        <v>0.1181</v>
      </c>
      <c r="H12" s="14" t="n">
        <v>0.2256</v>
      </c>
      <c r="I12" s="13" t="n">
        <f aca="false">(1+G12)*(1+E12)-1</f>
        <v>0.0700217000000001</v>
      </c>
      <c r="J12" s="13" t="n">
        <f aca="false">(1+H12)*(1+E12)-1</f>
        <v>0.1728992</v>
      </c>
    </row>
    <row r="13" customFormat="false" ht="15" hidden="false" customHeight="false" outlineLevel="0" collapsed="false">
      <c r="A13" s="3" t="s">
        <v>36</v>
      </c>
      <c r="B13" s="14" t="n">
        <v>0.0743</v>
      </c>
      <c r="C13" s="14" t="n">
        <v>0.1159</v>
      </c>
      <c r="D13" s="14" t="n">
        <v>0.065</v>
      </c>
      <c r="E13" s="14" t="n">
        <v>0.126</v>
      </c>
      <c r="F13" s="14" t="n">
        <v>-0.181</v>
      </c>
      <c r="G13" s="14" t="n">
        <v>0.0014</v>
      </c>
      <c r="H13" s="14" t="n">
        <v>0.179</v>
      </c>
      <c r="I13" s="13" t="n">
        <f aca="false">(1+G13)*(1+E13)-1</f>
        <v>0.1275764</v>
      </c>
      <c r="J13" s="13" t="n">
        <f aca="false">(1+H13)*(1+E13)-1</f>
        <v>0.327554</v>
      </c>
    </row>
    <row r="14" customFormat="false" ht="15" hidden="false" customHeight="false" outlineLevel="0" collapsed="false">
      <c r="A14" s="3" t="s">
        <v>37</v>
      </c>
      <c r="B14" s="14" t="n">
        <v>0.0602</v>
      </c>
      <c r="C14" s="14" t="n">
        <v>0.0841</v>
      </c>
      <c r="D14" s="14" t="n">
        <v>0.058</v>
      </c>
      <c r="E14" s="14" t="n">
        <v>0.089</v>
      </c>
      <c r="F14" s="14" t="n">
        <v>0.074</v>
      </c>
      <c r="G14" s="14" t="n">
        <v>0.1439</v>
      </c>
      <c r="H14" s="14" t="n">
        <v>0.0274</v>
      </c>
      <c r="I14" s="13" t="n">
        <f aca="false">(1+G14)*(1+E14)-1</f>
        <v>0.2457071</v>
      </c>
      <c r="J14" s="13" t="n">
        <f aca="false">(1+H14)*(1+E14)-1</f>
        <v>0.1188386</v>
      </c>
    </row>
    <row r="15" customFormat="false" ht="15" hidden="false" customHeight="false" outlineLevel="0" collapsed="false">
      <c r="A15" s="3" t="s">
        <v>38</v>
      </c>
      <c r="B15" s="14" t="n">
        <v>0.0581</v>
      </c>
      <c r="C15" s="14" t="n">
        <v>0.0806</v>
      </c>
      <c r="D15" s="14" t="n">
        <v>0.059</v>
      </c>
      <c r="E15" s="14" t="n">
        <v>0.146</v>
      </c>
      <c r="F15" s="14" t="n">
        <v>-0.155</v>
      </c>
      <c r="G15" s="14" t="n">
        <v>0.271</v>
      </c>
      <c r="H15" s="14" t="n">
        <v>-0.2748</v>
      </c>
      <c r="I15" s="13" t="n">
        <f aca="false">(1+G15)*(1+E15)-1</f>
        <v>0.456566</v>
      </c>
      <c r="J15" s="13" t="n">
        <f aca="false">(1+H15)*(1+E15)-1</f>
        <v>-0.1689208</v>
      </c>
    </row>
    <row r="16" customFormat="false" ht="15" hidden="false" customHeight="false" outlineLevel="0" collapsed="false">
      <c r="A16" s="3" t="s">
        <v>39</v>
      </c>
      <c r="B16" s="14" t="n">
        <v>0.0708</v>
      </c>
      <c r="C16" s="14" t="n">
        <v>0.1082</v>
      </c>
      <c r="D16" s="14" t="n">
        <v>0.064</v>
      </c>
      <c r="E16" s="14" t="n">
        <v>0.134</v>
      </c>
      <c r="F16" s="14" t="n">
        <v>-0.029</v>
      </c>
      <c r="G16" s="14" t="n">
        <v>0.1363</v>
      </c>
      <c r="H16" s="14" t="n">
        <v>-0.0172</v>
      </c>
      <c r="I16" s="13" t="n">
        <f aca="false">(1+G16)*(1+E16)-1</f>
        <v>0.2885642</v>
      </c>
      <c r="J16" s="13" t="n">
        <f aca="false">(1+H16)*(1+E16)-1</f>
        <v>0.1144952</v>
      </c>
    </row>
    <row r="17" customFormat="false" ht="15" hidden="false" customHeight="false" outlineLevel="0" collapsed="false">
      <c r="A17" s="3" t="s">
        <v>40</v>
      </c>
      <c r="B17" s="14" t="n">
        <v>0.0807</v>
      </c>
      <c r="C17" s="14" t="n">
        <v>0.1326</v>
      </c>
      <c r="D17" s="14" t="n">
        <v>0.107</v>
      </c>
      <c r="E17" s="14" t="n">
        <v>0.47</v>
      </c>
      <c r="F17" s="14" t="n">
        <v>-0.133</v>
      </c>
      <c r="G17" s="14" t="n">
        <v>-0.0001</v>
      </c>
      <c r="H17" s="14" t="n">
        <v>-0.1041</v>
      </c>
      <c r="I17" s="13" t="n">
        <f aca="false">(1+G17)*(1+E17)-1</f>
        <v>0.469853</v>
      </c>
      <c r="J17" s="13" t="n">
        <f aca="false">(1+H17)*(1+E17)-1</f>
        <v>0.316973</v>
      </c>
    </row>
    <row r="18" customFormat="false" ht="15" hidden="false" customHeight="false" outlineLevel="0" collapsed="false">
      <c r="A18" s="3" t="s">
        <v>41</v>
      </c>
      <c r="B18" s="14" t="n">
        <v>0.083</v>
      </c>
      <c r="C18" s="14" t="n">
        <v>0.1399</v>
      </c>
      <c r="D18" s="14" t="n">
        <v>0.063</v>
      </c>
      <c r="E18" s="14" t="n">
        <v>-0.165</v>
      </c>
      <c r="F18" s="14" t="n">
        <v>0.389</v>
      </c>
      <c r="G18" s="14" t="n">
        <v>0.0937</v>
      </c>
      <c r="H18" s="14" t="n">
        <v>0.0753</v>
      </c>
      <c r="I18" s="13" t="n">
        <f aca="false">(1+G18)*(1+E18)-1</f>
        <v>-0.0867604999999999</v>
      </c>
      <c r="J18" s="13" t="n">
        <f aca="false">(1+H18)*(1+E18)-1</f>
        <v>-0.1021245</v>
      </c>
    </row>
    <row r="19" customFormat="false" ht="15" hidden="false" customHeight="false" outlineLevel="0" collapsed="false">
      <c r="A19" s="3" t="s">
        <v>42</v>
      </c>
      <c r="B19" s="14" t="n">
        <v>0.0661</v>
      </c>
      <c r="C19" s="14" t="n">
        <v>0.0993</v>
      </c>
      <c r="D19" s="14" t="n">
        <v>0.029</v>
      </c>
      <c r="E19" s="14" t="n">
        <v>0.015</v>
      </c>
      <c r="F19" s="14" t="n">
        <v>0.269</v>
      </c>
      <c r="G19" s="14" t="n">
        <v>0.1859</v>
      </c>
      <c r="H19" s="14" t="n">
        <v>0.0925</v>
      </c>
      <c r="I19" s="13" t="n">
        <f aca="false">(1+G19)*(1+E19)-1</f>
        <v>0.2036885</v>
      </c>
      <c r="J19" s="13" t="n">
        <f aca="false">(1+H19)*(1+E19)-1</f>
        <v>0.1088875</v>
      </c>
    </row>
    <row r="20" customFormat="false" ht="15" hidden="false" customHeight="false" outlineLevel="0" collapsed="false">
      <c r="A20" s="3" t="s">
        <v>43</v>
      </c>
      <c r="B20" s="14" t="n">
        <v>0.0462</v>
      </c>
      <c r="C20" s="14" t="n">
        <v>0.0641</v>
      </c>
      <c r="D20" s="14" t="n">
        <v>0.037</v>
      </c>
      <c r="E20" s="14" t="n">
        <v>0.171</v>
      </c>
      <c r="F20" s="14" t="n">
        <v>0.15</v>
      </c>
      <c r="G20" s="14" t="n">
        <v>-0.0364</v>
      </c>
      <c r="H20" s="14" t="n">
        <v>-0.0111</v>
      </c>
      <c r="I20" s="13" t="n">
        <f aca="false">(1+G20)*(1+E20)-1</f>
        <v>0.1283756</v>
      </c>
      <c r="J20" s="13" t="n">
        <f aca="false">(1+H20)*(1+E20)-1</f>
        <v>0.1580019</v>
      </c>
    </row>
    <row r="21" customFormat="false" ht="15" hidden="false" customHeight="false" outlineLevel="0" collapsed="false">
      <c r="A21" s="3" t="s">
        <v>44</v>
      </c>
      <c r="B21" s="14" t="n">
        <v>0.0426</v>
      </c>
      <c r="C21" s="14" t="n">
        <v>0.0595</v>
      </c>
      <c r="D21" s="14" t="n">
        <v>0.043</v>
      </c>
      <c r="E21" s="14" t="n">
        <v>0.04</v>
      </c>
      <c r="F21" s="14" t="n">
        <v>0.316</v>
      </c>
      <c r="G21" s="14" t="n">
        <v>0.2374</v>
      </c>
      <c r="H21" s="14" t="n">
        <v>0.1832</v>
      </c>
      <c r="I21" s="13" t="n">
        <f aca="false">(1+G21)*(1+E21)-1</f>
        <v>0.286896</v>
      </c>
      <c r="J21" s="13" t="n">
        <f aca="false">(1+H21)*(1+E21)-1</f>
        <v>0.230528</v>
      </c>
    </row>
    <row r="22" customFormat="false" ht="15" hidden="false" customHeight="false" outlineLevel="0" collapsed="false">
      <c r="A22" s="3" t="s">
        <v>45</v>
      </c>
      <c r="B22" s="14" t="n">
        <v>0.0211</v>
      </c>
      <c r="C22" s="14" t="n">
        <v>0.0275</v>
      </c>
      <c r="D22" s="14" t="n">
        <v>0.045</v>
      </c>
      <c r="E22" s="14" t="n">
        <v>0.289</v>
      </c>
      <c r="F22" s="14" t="n">
        <v>0.029</v>
      </c>
      <c r="G22" s="14" t="n">
        <v>0.1632</v>
      </c>
      <c r="H22" s="14" t="n">
        <v>0.2563</v>
      </c>
      <c r="I22" s="13" t="n">
        <f aca="false">(1+G22)*(1+E22)-1</f>
        <v>0.4993648</v>
      </c>
      <c r="J22" s="13" t="n">
        <f aca="false">(1+H22)*(1+E22)-1</f>
        <v>0.6193707</v>
      </c>
    </row>
    <row r="23" customFormat="false" ht="15" hidden="false" customHeight="false" outlineLevel="0" collapsed="false">
      <c r="A23" s="3" t="s">
        <v>46</v>
      </c>
      <c r="B23" s="14" t="n">
        <v>0.0299</v>
      </c>
      <c r="C23" s="14" t="n">
        <v>0.0442</v>
      </c>
      <c r="D23" s="14" t="n">
        <v>0.101</v>
      </c>
      <c r="E23" s="14" t="n">
        <v>0.074</v>
      </c>
      <c r="F23" s="14" t="n">
        <v>-0.119</v>
      </c>
      <c r="G23" s="14" t="n">
        <v>0.2651</v>
      </c>
      <c r="H23" s="14" t="n">
        <v>-0.0366</v>
      </c>
      <c r="I23" s="13" t="n">
        <f aca="false">(1+G23)*(1+E23)-1</f>
        <v>0.3587174</v>
      </c>
      <c r="J23" s="13" t="n">
        <f aca="false">(1+H23)*(1+E23)-1</f>
        <v>0.0346916000000002</v>
      </c>
    </row>
    <row r="24" customFormat="false" ht="15" hidden="false" customHeight="false" outlineLevel="0" collapsed="false">
      <c r="A24" s="3" t="s">
        <v>47</v>
      </c>
      <c r="B24" s="14" t="n">
        <v>0.079</v>
      </c>
      <c r="C24" s="14" t="n">
        <v>0.1239</v>
      </c>
      <c r="D24" s="14" t="n">
        <v>0.058</v>
      </c>
      <c r="E24" s="14" t="n">
        <v>-0.065</v>
      </c>
      <c r="F24" s="14" t="n">
        <v>0.047</v>
      </c>
      <c r="G24" s="14" t="n">
        <v>-0.1631</v>
      </c>
      <c r="H24" s="14" t="n">
        <v>0.0045</v>
      </c>
      <c r="I24" s="13" t="n">
        <f aca="false">(1+G24)*(1+E24)-1</f>
        <v>-0.2174985</v>
      </c>
      <c r="J24" s="13" t="n">
        <f aca="false">(1+H24)*(1+E24)-1</f>
        <v>-0.0607925</v>
      </c>
    </row>
    <row r="25" customFormat="false" ht="15" hidden="false" customHeight="false" outlineLevel="0" collapsed="false">
      <c r="A25" s="3" t="s">
        <v>48</v>
      </c>
      <c r="B25" s="14" t="n">
        <v>0.0804</v>
      </c>
      <c r="C25" s="14" t="n">
        <v>0.1304</v>
      </c>
      <c r="D25" s="14" t="n">
        <v>0.046</v>
      </c>
      <c r="E25" s="14" t="n">
        <v>-0.072</v>
      </c>
      <c r="F25" s="14" t="n">
        <v>0.223</v>
      </c>
      <c r="G25" s="14" t="n">
        <v>0.1975</v>
      </c>
      <c r="H25" s="14" t="n">
        <v>0.1268</v>
      </c>
      <c r="I25" s="13" t="n">
        <f aca="false">(1+G25)*(1+E25)-1</f>
        <v>0.11128</v>
      </c>
      <c r="J25" s="13" t="n">
        <f aca="false">(1+H25)*(1+E25)-1</f>
        <v>0.0456704000000001</v>
      </c>
    </row>
    <row r="26" customFormat="false" ht="15" hidden="false" customHeight="false" outlineLevel="0" collapsed="false">
      <c r="A26" s="3" t="s">
        <v>49</v>
      </c>
      <c r="B26" s="14" t="n">
        <v>0.0708</v>
      </c>
      <c r="C26" s="14" t="n">
        <v>0.1088</v>
      </c>
      <c r="D26" s="14" t="n">
        <v>0.048</v>
      </c>
      <c r="E26" s="14" t="n">
        <v>0.279</v>
      </c>
      <c r="F26" s="14" t="n">
        <v>-0.104</v>
      </c>
      <c r="G26" s="14" t="n">
        <v>0.283</v>
      </c>
      <c r="H26" s="14" t="n">
        <v>0.307</v>
      </c>
      <c r="I26" s="13" t="n">
        <f aca="false">(1+G26)*(1+E26)-1</f>
        <v>0.640957</v>
      </c>
      <c r="J26" s="13" t="n">
        <f aca="false">(1+H26)*(1+E26)-1</f>
        <v>0.671653</v>
      </c>
    </row>
    <row r="27" customFormat="false" ht="15" hidden="false" customHeight="false" outlineLevel="0" collapsed="false">
      <c r="A27" s="3" t="s">
        <v>50</v>
      </c>
      <c r="B27" s="14" t="n">
        <v>0.0825</v>
      </c>
      <c r="C27" s="14" t="n">
        <v>0.1433</v>
      </c>
      <c r="D27" s="14" t="n">
        <v>0.0426</v>
      </c>
      <c r="E27" s="14" t="n">
        <v>-0.1114</v>
      </c>
      <c r="F27" s="14" t="n">
        <v>0.3395</v>
      </c>
      <c r="G27" s="14" t="n">
        <v>0.1401</v>
      </c>
      <c r="H27" s="14" t="n">
        <v>0.6273</v>
      </c>
      <c r="I27" s="13" t="n">
        <f aca="false">(1+G27)*(1+E27)-1</f>
        <v>0.01309286</v>
      </c>
      <c r="J27" s="13" t="n">
        <f aca="false">(1+H27)*(1+E27)-1</f>
        <v>0.44601878</v>
      </c>
    </row>
    <row r="28" customFormat="false" ht="15" hidden="false" customHeight="false" outlineLevel="0" collapsed="false">
      <c r="A28" s="3" t="s">
        <v>51</v>
      </c>
      <c r="B28" s="14" t="n">
        <v>0.0614</v>
      </c>
      <c r="C28" s="14" t="n">
        <v>0.105</v>
      </c>
      <c r="D28" s="14" t="n">
        <v>0.0395</v>
      </c>
      <c r="E28" s="14" t="n">
        <v>-0.0604</v>
      </c>
      <c r="F28" s="14" t="n">
        <v>0.1565</v>
      </c>
      <c r="G28" s="14" t="n">
        <v>0.1191</v>
      </c>
      <c r="H28" s="14" t="n">
        <v>0.0023</v>
      </c>
      <c r="I28" s="13" t="n">
        <f aca="false">(1+G28)*(1+E28)-1</f>
        <v>0.0515063600000001</v>
      </c>
      <c r="J28" s="13" t="n">
        <f aca="false">(1+H28)*(1+E28)-1</f>
        <v>-0.0582389200000001</v>
      </c>
    </row>
    <row r="30" customFormat="false" ht="15" hidden="false" customHeight="false" outlineLevel="0" collapsed="false">
      <c r="A30" s="6" t="s">
        <v>52</v>
      </c>
    </row>
    <row r="31" customFormat="false" ht="15" hidden="false" customHeight="false" outlineLevel="0" collapsed="false">
      <c r="A31" s="6" t="s">
        <v>53</v>
      </c>
    </row>
    <row r="32" customFormat="false" ht="15" hidden="false" customHeight="false" outlineLevel="0" collapsed="false">
      <c r="A32" s="6" t="s">
        <v>54</v>
      </c>
    </row>
    <row r="33" customFormat="false" ht="15" hidden="false" customHeight="false" outlineLevel="0" collapsed="false">
      <c r="A33" s="6" t="s">
        <v>55</v>
      </c>
    </row>
    <row r="34" customFormat="false" ht="15" hidden="false" customHeight="false" outlineLevel="0" collapsed="false">
      <c r="A34" s="6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8" min="2" style="0" width="14"/>
  </cols>
  <sheetData>
    <row r="1" customFormat="false" ht="30" hidden="false" customHeight="true" outlineLevel="0" collapsed="false">
      <c r="A1" s="7" t="s">
        <v>20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</row>
    <row r="2" customFormat="false" ht="15" hidden="false" customHeight="false" outlineLevel="0" collapsed="false">
      <c r="A2" s="3" t="s">
        <v>25</v>
      </c>
      <c r="B2" s="15" t="n">
        <v>100</v>
      </c>
      <c r="C2" s="15" t="n">
        <v>100</v>
      </c>
      <c r="D2" s="15" t="n">
        <v>100</v>
      </c>
      <c r="E2" s="15" t="n">
        <v>100</v>
      </c>
      <c r="F2" s="15" t="n">
        <v>100</v>
      </c>
      <c r="G2" s="15" t="n">
        <v>100</v>
      </c>
      <c r="H2" s="15" t="n">
        <v>100</v>
      </c>
    </row>
    <row r="3" customFormat="false" ht="15" hidden="false" customHeight="false" outlineLevel="0" collapsed="false">
      <c r="A3" s="3" t="s">
        <v>26</v>
      </c>
      <c r="B3" s="16" t="n">
        <f aca="false">B2*(1+'Retornos anuais'!B3)</f>
        <v>108.6</v>
      </c>
      <c r="C3" s="16" t="n">
        <f aca="false">C2*(1+'Retornos anuais'!C3)</f>
        <v>117.26</v>
      </c>
      <c r="D3" s="16" t="n">
        <f aca="false">D2*(1+'Retornos anuais'!J3)</f>
        <v>120.89595</v>
      </c>
      <c r="E3" s="16" t="n">
        <f aca="false">E2*(1+'Retornos anuais'!F3)</f>
        <v>89</v>
      </c>
      <c r="F3" s="16" t="n">
        <f aca="false">F2*(1+'Retornos anuais'!I3)</f>
        <v>102.10574</v>
      </c>
      <c r="G3" s="16" t="n">
        <f aca="false">G2*(1+'Retornos anuais'!E3)</f>
        <v>118.7</v>
      </c>
      <c r="H3" s="16" t="n">
        <f aca="false">H2*(1+'Retornos anuais'!D3)</f>
        <v>107.7</v>
      </c>
    </row>
    <row r="4" customFormat="false" ht="15" hidden="false" customHeight="false" outlineLevel="0" collapsed="false">
      <c r="A4" s="3" t="s">
        <v>27</v>
      </c>
      <c r="B4" s="16" t="n">
        <f aca="false">B3*(1+'Retornos anuais'!B4)</f>
        <v>118.54776</v>
      </c>
      <c r="C4" s="16" t="n">
        <f aca="false">C3*(1+'Retornos anuais'!C4)</f>
        <v>139.644934</v>
      </c>
      <c r="D4" s="16" t="n">
        <f aca="false">D3*(1+'Retornos anuais'!J4)</f>
        <v>221.483399362365</v>
      </c>
      <c r="E4" s="16" t="n">
        <f aca="false">E3*(1+'Retornos anuais'!F4)</f>
        <v>73.87</v>
      </c>
      <c r="F4" s="16" t="n">
        <f aca="false">F3*(1+'Retornos anuais'!I4)</f>
        <v>122.135230802508</v>
      </c>
      <c r="G4" s="16" t="n">
        <f aca="false">G3*(1+'Retornos anuais'!E4)</f>
        <v>180.7801</v>
      </c>
      <c r="H4" s="16" t="n">
        <f aca="false">H3*(1+'Retornos anuais'!D4)</f>
        <v>121.1625</v>
      </c>
    </row>
    <row r="5" customFormat="false" ht="15" hidden="false" customHeight="false" outlineLevel="0" collapsed="false">
      <c r="A5" s="3" t="s">
        <v>28</v>
      </c>
      <c r="B5" s="16" t="n">
        <f aca="false">B4*(1+'Retornos anuais'!B5)</f>
        <v>131.718416136</v>
      </c>
      <c r="C5" s="16" t="n">
        <f aca="false">C4*(1+'Retornos anuais'!C5)</f>
        <v>172.1263456484</v>
      </c>
      <c r="D5" s="16" t="n">
        <f aca="false">D4*(1+'Retornos anuais'!J5)</f>
        <v>222.100496409668</v>
      </c>
      <c r="E5" s="16" t="n">
        <f aca="false">E4*(1+'Retornos anuais'!F5)</f>
        <v>145.74551</v>
      </c>
      <c r="F5" s="16" t="n">
        <f aca="false">F4*(1+'Retornos anuais'!I5)</f>
        <v>120.067774469576</v>
      </c>
      <c r="G5" s="16" t="n">
        <f aca="false">G4*(1+'Retornos anuais'!E5)</f>
        <v>147.8781218</v>
      </c>
      <c r="H5" s="16" t="n">
        <f aca="false">H4*(1+'Retornos anuais'!D5)</f>
        <v>132.4306125</v>
      </c>
    </row>
    <row r="6" customFormat="false" ht="15" hidden="false" customHeight="false" outlineLevel="0" collapsed="false">
      <c r="A6" s="3" t="s">
        <v>29</v>
      </c>
      <c r="B6" s="16" t="n">
        <f aca="false">B5*(1+'Retornos anuais'!B6)</f>
        <v>142.413951526243</v>
      </c>
      <c r="C6" s="16" t="n">
        <f aca="false">C5*(1+'Retornos anuais'!C6)</f>
        <v>199.941963105181</v>
      </c>
      <c r="D6" s="16" t="n">
        <f aca="false">D5*(1+'Retornos anuais'!J6)</f>
        <v>221.663846833727</v>
      </c>
      <c r="E6" s="16" t="n">
        <f aca="false">E5*(1+'Retornos anuais'!F6)</f>
        <v>171.68821078</v>
      </c>
      <c r="F6" s="16" t="n">
        <f aca="false">F5*(1+'Retornos anuais'!I6)</f>
        <v>122.446833373248</v>
      </c>
      <c r="G6" s="16" t="n">
        <f aca="false">G5*(1+'Retornos anuais'!E6)</f>
        <v>135.8999939342</v>
      </c>
      <c r="H6" s="16" t="n">
        <f aca="false">H5*(1+'Retornos anuais'!D6)</f>
        <v>142.49533905</v>
      </c>
    </row>
    <row r="7" customFormat="false" ht="15" hidden="false" customHeight="false" outlineLevel="0" collapsed="false">
      <c r="A7" s="3" t="s">
        <v>30</v>
      </c>
      <c r="B7" s="16" t="n">
        <f aca="false">B6*(1+'Retornos anuais'!B7)</f>
        <v>155.4733108812</v>
      </c>
      <c r="C7" s="16" t="n">
        <f aca="false">C6*(1+'Retornos anuais'!C7)</f>
        <v>237.930936095166</v>
      </c>
      <c r="D7" s="16" t="n">
        <f aca="false">D6*(1+'Retornos anuais'!J7)</f>
        <v>225.576568392497</v>
      </c>
      <c r="E7" s="16" t="n">
        <f aca="false">E6*(1+'Retornos anuais'!F7)</f>
        <v>219.24584516606</v>
      </c>
      <c r="F7" s="16" t="n">
        <f aca="false">F6*(1+'Retornos anuais'!I7)</f>
        <v>113.657207843849</v>
      </c>
      <c r="G7" s="16" t="n">
        <f aca="false">G6*(1+'Retornos anuais'!E7)</f>
        <v>119.863794649964</v>
      </c>
      <c r="H7" s="16" t="n">
        <f aca="false">H6*(1+'Retornos anuais'!D7)</f>
        <v>150.61757337585</v>
      </c>
    </row>
    <row r="8" customFormat="false" ht="15" hidden="false" customHeight="false" outlineLevel="0" collapsed="false">
      <c r="A8" s="3" t="s">
        <v>31</v>
      </c>
      <c r="B8" s="16" t="n">
        <f aca="false">B7*(1+'Retornos anuais'!B8)</f>
        <v>168.408690346515</v>
      </c>
      <c r="C8" s="16" t="n">
        <f aca="false">C7*(1+'Retornos anuais'!C8)</f>
        <v>273.715748883879</v>
      </c>
      <c r="D8" s="16" t="n">
        <f aca="false">D7*(1+'Retornos anuais'!J8)</f>
        <v>254.411772995885</v>
      </c>
      <c r="E8" s="16" t="n">
        <f aca="false">E7*(1+'Retornos anuais'!F8)</f>
        <v>291.377728225694</v>
      </c>
      <c r="F8" s="16" t="n">
        <f aca="false">F7*(1+'Retornos anuais'!I8)</f>
        <v>116.459983223558</v>
      </c>
      <c r="G8" s="16" t="n">
        <f aca="false">G7*(1+'Retornos anuais'!E8)</f>
        <v>109.435644515418</v>
      </c>
      <c r="H8" s="16" t="n">
        <f aca="false">H7*(1+'Retornos anuais'!D8)</f>
        <v>155.286718150501</v>
      </c>
    </row>
    <row r="9" customFormat="false" ht="15" hidden="false" customHeight="false" outlineLevel="0" collapsed="false">
      <c r="A9" s="3" t="s">
        <v>32</v>
      </c>
      <c r="B9" s="16" t="n">
        <f aca="false">B8*(1+'Retornos anuais'!B9)</f>
        <v>181.393000372232</v>
      </c>
      <c r="C9" s="16" t="n">
        <f aca="false">C8*(1+'Retornos anuais'!C9)</f>
        <v>306.041578827065</v>
      </c>
      <c r="D9" s="16" t="n">
        <f aca="false">D8*(1+'Retornos anuais'!J9)</f>
        <v>268.49824757254</v>
      </c>
      <c r="E9" s="16" t="n">
        <f aca="false">E8*(1+'Retornos anuais'!F9)</f>
        <v>418.709795460322</v>
      </c>
      <c r="F9" s="16" t="n">
        <f aca="false">F8*(1+'Retornos anuais'!I9)</f>
        <v>100.700664877739</v>
      </c>
      <c r="G9" s="16" t="n">
        <f aca="false">G8*(1+'Retornos anuais'!E9)</f>
        <v>90.6127136587657</v>
      </c>
      <c r="H9" s="16" t="n">
        <f aca="false">H8*(1+'Retornos anuais'!D9)</f>
        <v>162.274620467274</v>
      </c>
    </row>
    <row r="10" customFormat="false" ht="15" hidden="false" customHeight="false" outlineLevel="0" collapsed="false">
      <c r="A10" s="3" t="s">
        <v>33</v>
      </c>
      <c r="B10" s="16" t="n">
        <f aca="false">B9*(1+'Retornos anuais'!B10)</f>
        <v>195.723047401638</v>
      </c>
      <c r="C10" s="16" t="n">
        <f aca="false">C9*(1+'Retornos anuais'!C10)</f>
        <v>343.929526285856</v>
      </c>
      <c r="D10" s="16" t="n">
        <f aca="false">D9*(1+'Retornos anuais'!J10)</f>
        <v>359.88640540266</v>
      </c>
      <c r="E10" s="16" t="n">
        <f aca="false">E9*(1+'Retornos anuais'!F10)</f>
        <v>246.201359730669</v>
      </c>
      <c r="F10" s="16" t="n">
        <f aca="false">F9*(1+'Retornos anuais'!I10)</f>
        <v>78.8045841985189</v>
      </c>
      <c r="G10" s="16" t="n">
        <f aca="false">G9*(1+'Retornos anuais'!E10)</f>
        <v>119.518169315912</v>
      </c>
      <c r="H10" s="16" t="n">
        <f aca="false">H9*(1+'Retornos anuais'!D10)</f>
        <v>171.848823074843</v>
      </c>
    </row>
    <row r="11" customFormat="false" ht="15" hidden="false" customHeight="false" outlineLevel="0" collapsed="false">
      <c r="A11" s="3" t="s">
        <v>34</v>
      </c>
      <c r="B11" s="16" t="n">
        <f aca="false">B10*(1+'Retornos anuais'!B11)</f>
        <v>209.286654586572</v>
      </c>
      <c r="C11" s="16" t="n">
        <f aca="false">C10*(1+'Retornos anuais'!C11)</f>
        <v>377.87537053027</v>
      </c>
      <c r="D11" s="16" t="n">
        <f aca="false">D10*(1+'Retornos anuais'!J11)</f>
        <v>372.921670949547</v>
      </c>
      <c r="E11" s="16" t="n">
        <f aca="false">E10*(1+'Retornos anuais'!F11)</f>
        <v>449.809884227933</v>
      </c>
      <c r="F11" s="16" t="n">
        <f aca="false">F10*(1+'Retornos anuais'!I11)</f>
        <v>74.2850230878576</v>
      </c>
      <c r="G11" s="16" t="n">
        <f aca="false">G10*(1+'Retornos anuais'!E11)</f>
        <v>89.0410361403544</v>
      </c>
      <c r="H11" s="16" t="n">
        <f aca="false">H10*(1+'Retornos anuais'!D11)</f>
        <v>179.238322467061</v>
      </c>
    </row>
    <row r="12" customFormat="false" ht="15" hidden="false" customHeight="false" outlineLevel="0" collapsed="false">
      <c r="A12" s="3" t="s">
        <v>35</v>
      </c>
      <c r="B12" s="16" t="n">
        <f aca="false">B11*(1+'Retornos anuais'!B12)</f>
        <v>223.727433753045</v>
      </c>
      <c r="C12" s="16" t="n">
        <f aca="false">C11*(1+'Retornos anuais'!C12)</f>
        <v>414.756006694024</v>
      </c>
      <c r="D12" s="16" t="n">
        <f aca="false">D11*(1+'Retornos anuais'!J12)</f>
        <v>437.399529519387</v>
      </c>
      <c r="E12" s="16" t="n">
        <f aca="false">E11*(1+'Retornos anuais'!F12)</f>
        <v>454.307983070212</v>
      </c>
      <c r="F12" s="16" t="n">
        <f aca="false">F11*(1+'Retornos anuais'!I12)</f>
        <v>79.4865866890086</v>
      </c>
      <c r="G12" s="16" t="n">
        <f aca="false">G11*(1+'Retornos anuais'!E12)</f>
        <v>85.2122715863192</v>
      </c>
      <c r="H12" s="16" t="n">
        <f aca="false">H11*(1+'Retornos anuais'!D12)</f>
        <v>189.813383492618</v>
      </c>
    </row>
    <row r="13" customFormat="false" ht="15" hidden="false" customHeight="false" outlineLevel="0" collapsed="false">
      <c r="A13" s="3" t="s">
        <v>36</v>
      </c>
      <c r="B13" s="16" t="n">
        <f aca="false">B12*(1+'Retornos anuais'!B13)</f>
        <v>240.350382080896</v>
      </c>
      <c r="C13" s="16" t="n">
        <f aca="false">C12*(1+'Retornos anuais'!C13)</f>
        <v>462.826227869861</v>
      </c>
      <c r="D13" s="16" t="n">
        <f aca="false">D12*(1+'Retornos anuais'!J13)</f>
        <v>580.671495011581</v>
      </c>
      <c r="E13" s="16" t="n">
        <f aca="false">E12*(1+'Retornos anuais'!F13)</f>
        <v>372.078238134504</v>
      </c>
      <c r="F13" s="16" t="n">
        <f aca="false">F12*(1+'Retornos anuais'!I13)</f>
        <v>89.6271992670802</v>
      </c>
      <c r="G13" s="16" t="n">
        <f aca="false">G12*(1+'Retornos anuais'!E13)</f>
        <v>95.9490178061954</v>
      </c>
      <c r="H13" s="16" t="n">
        <f aca="false">H12*(1+'Retornos anuais'!D13)</f>
        <v>202.151253419638</v>
      </c>
    </row>
    <row r="14" customFormat="false" ht="15" hidden="false" customHeight="false" outlineLevel="0" collapsed="false">
      <c r="A14" s="3" t="s">
        <v>37</v>
      </c>
      <c r="B14" s="16" t="n">
        <f aca="false">B13*(1+'Retornos anuais'!B14)</f>
        <v>254.819475082166</v>
      </c>
      <c r="C14" s="16" t="n">
        <f aca="false">C13*(1+'Retornos anuais'!C14)</f>
        <v>501.749913633717</v>
      </c>
      <c r="D14" s="16" t="n">
        <f aca="false">D13*(1+'Retornos anuais'!J14)</f>
        <v>649.677682538664</v>
      </c>
      <c r="E14" s="16" t="n">
        <f aca="false">E13*(1+'Retornos anuais'!F14)</f>
        <v>399.612027756457</v>
      </c>
      <c r="F14" s="16" t="n">
        <f aca="false">F13*(1+'Retornos anuais'!I14)</f>
        <v>111.649238480117</v>
      </c>
      <c r="G14" s="16" t="n">
        <f aca="false">G13*(1+'Retornos anuais'!E14)</f>
        <v>104.488480390947</v>
      </c>
      <c r="H14" s="16" t="n">
        <f aca="false">H13*(1+'Retornos anuais'!D14)</f>
        <v>213.876026117977</v>
      </c>
    </row>
    <row r="15" customFormat="false" ht="15" hidden="false" customHeight="false" outlineLevel="0" collapsed="false">
      <c r="A15" s="3" t="s">
        <v>38</v>
      </c>
      <c r="B15" s="16" t="n">
        <f aca="false">B14*(1+'Retornos anuais'!B15)</f>
        <v>269.62448658444</v>
      </c>
      <c r="C15" s="16" t="n">
        <f aca="false">C14*(1+'Retornos anuais'!C15)</f>
        <v>542.190956672594</v>
      </c>
      <c r="D15" s="16" t="n">
        <f aca="false">D14*(1+'Retornos anuais'!J15)</f>
        <v>539.933608662087</v>
      </c>
      <c r="E15" s="16" t="n">
        <f aca="false">E14*(1+'Retornos anuais'!F15)</f>
        <v>337.672163454206</v>
      </c>
      <c r="F15" s="16" t="n">
        <f aca="false">F14*(1+'Retornos anuais'!I15)</f>
        <v>162.62448469603</v>
      </c>
      <c r="G15" s="16" t="n">
        <f aca="false">G14*(1+'Retornos anuais'!E15)</f>
        <v>119.743798528025</v>
      </c>
      <c r="H15" s="16" t="n">
        <f aca="false">H14*(1+'Retornos anuais'!D15)</f>
        <v>226.494711658938</v>
      </c>
    </row>
    <row r="16" customFormat="false" ht="15" hidden="false" customHeight="false" outlineLevel="0" collapsed="false">
      <c r="A16" s="3" t="s">
        <v>39</v>
      </c>
      <c r="B16" s="16" t="n">
        <f aca="false">B15*(1+'Retornos anuais'!B16)</f>
        <v>288.713900234618</v>
      </c>
      <c r="C16" s="16" t="n">
        <f aca="false">C15*(1+'Retornos anuais'!C16)</f>
        <v>600.856018184569</v>
      </c>
      <c r="D16" s="16" t="n">
        <f aca="false">D15*(1+'Retornos anuais'!J16)</f>
        <v>601.753415172574</v>
      </c>
      <c r="E16" s="16" t="n">
        <f aca="false">E15*(1+'Retornos anuais'!F16)</f>
        <v>327.879670714034</v>
      </c>
      <c r="F16" s="16" t="n">
        <f aca="false">F15*(1+'Retornos anuais'!I16)</f>
        <v>209.552089022752</v>
      </c>
      <c r="G16" s="16" t="n">
        <f aca="false">G15*(1+'Retornos anuais'!E16)</f>
        <v>135.78946753078</v>
      </c>
      <c r="H16" s="16" t="n">
        <f aca="false">H15*(1+'Retornos anuais'!D16)</f>
        <v>240.99037320511</v>
      </c>
    </row>
    <row r="17" customFormat="false" ht="15" hidden="false" customHeight="false" outlineLevel="0" collapsed="false">
      <c r="A17" s="3" t="s">
        <v>40</v>
      </c>
      <c r="B17" s="16" t="n">
        <f aca="false">B16*(1+'Retornos anuais'!B17)</f>
        <v>312.013111983552</v>
      </c>
      <c r="C17" s="16" t="n">
        <f aca="false">C16*(1+'Retornos anuais'!C17)</f>
        <v>680.529526195843</v>
      </c>
      <c r="D17" s="16" t="n">
        <f aca="false">D16*(1+'Retornos anuais'!J17)</f>
        <v>792.49300044007</v>
      </c>
      <c r="E17" s="16" t="n">
        <f aca="false">E16*(1+'Retornos anuais'!F17)</f>
        <v>284.271674509068</v>
      </c>
      <c r="F17" s="16" t="n">
        <f aca="false">F16*(1+'Retornos anuais'!I17)</f>
        <v>308.010766706358</v>
      </c>
      <c r="G17" s="16" t="n">
        <f aca="false">G16*(1+'Retornos anuais'!E17)</f>
        <v>199.610517270247</v>
      </c>
      <c r="H17" s="16" t="n">
        <f aca="false">H16*(1+'Retornos anuais'!D17)</f>
        <v>266.776343138056</v>
      </c>
    </row>
    <row r="18" customFormat="false" ht="15" hidden="false" customHeight="false" outlineLevel="0" collapsed="false">
      <c r="A18" s="3" t="s">
        <v>41</v>
      </c>
      <c r="B18" s="16" t="n">
        <f aca="false">B17*(1+'Retornos anuais'!B18)</f>
        <v>337.910200278187</v>
      </c>
      <c r="C18" s="16" t="n">
        <f aca="false">C17*(1+'Retornos anuais'!C18)</f>
        <v>775.735606910641</v>
      </c>
      <c r="D18" s="16" t="n">
        <f aca="false">D17*(1+'Retornos anuais'!J18)</f>
        <v>711.560049016628</v>
      </c>
      <c r="E18" s="16" t="n">
        <f aca="false">E17*(1+'Retornos anuais'!F18)</f>
        <v>394.853355893095</v>
      </c>
      <c r="F18" s="16" t="n">
        <f aca="false">F17*(1+'Retornos anuais'!I18)</f>
        <v>281.287598581531</v>
      </c>
      <c r="G18" s="16" t="n">
        <f aca="false">G17*(1+'Retornos anuais'!E18)</f>
        <v>166.674781920656</v>
      </c>
      <c r="H18" s="16" t="n">
        <f aca="false">H17*(1+'Retornos anuais'!D18)</f>
        <v>283.583252755754</v>
      </c>
    </row>
    <row r="19" customFormat="false" ht="15" hidden="false" customHeight="false" outlineLevel="0" collapsed="false">
      <c r="A19" s="3" t="s">
        <v>42</v>
      </c>
      <c r="B19" s="16" t="n">
        <f aca="false">B18*(1+'Retornos anuais'!B19)</f>
        <v>360.246064516575</v>
      </c>
      <c r="C19" s="16" t="n">
        <f aca="false">C18*(1+'Retornos anuais'!C19)</f>
        <v>852.766152676868</v>
      </c>
      <c r="D19" s="16" t="n">
        <f aca="false">D18*(1+'Retornos anuais'!J19)</f>
        <v>789.040043853927</v>
      </c>
      <c r="E19" s="16" t="n">
        <f aca="false">E18*(1+'Retornos anuais'!F19)</f>
        <v>501.068908628338</v>
      </c>
      <c r="F19" s="16" t="n">
        <f aca="false">F18*(1+'Retornos anuais'!I19)</f>
        <v>338.582647605206</v>
      </c>
      <c r="G19" s="16" t="n">
        <f aca="false">G18*(1+'Retornos anuais'!E19)</f>
        <v>169.174903649466</v>
      </c>
      <c r="H19" s="16" t="n">
        <f aca="false">H18*(1+'Retornos anuais'!D19)</f>
        <v>291.807167085671</v>
      </c>
    </row>
    <row r="20" customFormat="false" ht="15" hidden="false" customHeight="false" outlineLevel="0" collapsed="false">
      <c r="A20" s="3" t="s">
        <v>43</v>
      </c>
      <c r="B20" s="16" t="n">
        <f aca="false">B19*(1+'Retornos anuais'!B20)</f>
        <v>376.889432697241</v>
      </c>
      <c r="C20" s="16" t="n">
        <f aca="false">C19*(1+'Retornos anuais'!C20)</f>
        <v>907.428463063455</v>
      </c>
      <c r="D20" s="16" t="n">
        <f aca="false">D19*(1+'Retornos anuais'!J20)</f>
        <v>913.70986995893</v>
      </c>
      <c r="E20" s="16" t="n">
        <f aca="false">E19*(1+'Retornos anuais'!F20)</f>
        <v>576.229244922588</v>
      </c>
      <c r="F20" s="16" t="n">
        <f aca="false">F19*(1+'Retornos anuais'!I20)</f>
        <v>382.048398141113</v>
      </c>
      <c r="G20" s="16" t="n">
        <f aca="false">G19*(1+'Retornos anuais'!E20)</f>
        <v>198.103812173525</v>
      </c>
      <c r="H20" s="16" t="n">
        <f aca="false">H19*(1+'Retornos anuais'!D20)</f>
        <v>302.604032267841</v>
      </c>
    </row>
    <row r="21" customFormat="false" ht="15" hidden="false" customHeight="false" outlineLevel="0" collapsed="false">
      <c r="A21" s="3" t="s">
        <v>44</v>
      </c>
      <c r="B21" s="16" t="n">
        <f aca="false">B20*(1+'Retornos anuais'!B21)</f>
        <v>392.944922530143</v>
      </c>
      <c r="C21" s="16" t="n">
        <f aca="false">C20*(1+'Retornos anuais'!C21)</f>
        <v>961.42045661573</v>
      </c>
      <c r="D21" s="16" t="n">
        <f aca="false">D20*(1+'Retornos anuais'!J21)</f>
        <v>1124.34557886082</v>
      </c>
      <c r="E21" s="16" t="n">
        <f aca="false">E20*(1+'Retornos anuais'!F21)</f>
        <v>758.317686318126</v>
      </c>
      <c r="F21" s="16" t="n">
        <f aca="false">F20*(1+'Retornos anuais'!I21)</f>
        <v>491.656555374205</v>
      </c>
      <c r="G21" s="16" t="n">
        <f aca="false">G20*(1+'Retornos anuais'!E21)</f>
        <v>206.027964660466</v>
      </c>
      <c r="H21" s="16" t="n">
        <f aca="false">H20*(1+'Retornos anuais'!D21)</f>
        <v>315.616005655358</v>
      </c>
    </row>
    <row r="22" customFormat="false" ht="15" hidden="false" customHeight="false" outlineLevel="0" collapsed="false">
      <c r="A22" s="3" t="s">
        <v>45</v>
      </c>
      <c r="B22" s="16" t="n">
        <f aca="false">B21*(1+'Retornos anuais'!B22)</f>
        <v>401.236060395529</v>
      </c>
      <c r="C22" s="16" t="n">
        <f aca="false">C21*(1+'Retornos anuais'!C22)</f>
        <v>987.859519172663</v>
      </c>
      <c r="D22" s="16" t="n">
        <f aca="false">D21*(1+'Retornos anuais'!J22)</f>
        <v>1820.73228708176</v>
      </c>
      <c r="E22" s="16" t="n">
        <f aca="false">E21*(1+'Retornos anuais'!F22)</f>
        <v>780.308899221352</v>
      </c>
      <c r="F22" s="16" t="n">
        <f aca="false">F21*(1+'Retornos anuais'!I22)</f>
        <v>737.172532817334</v>
      </c>
      <c r="G22" s="16" t="n">
        <f aca="false">G21*(1+'Retornos anuais'!E22)</f>
        <v>265.570046447341</v>
      </c>
      <c r="H22" s="16" t="n">
        <f aca="false">H21*(1+'Retornos anuais'!D22)</f>
        <v>329.818725909849</v>
      </c>
    </row>
    <row r="23" customFormat="false" ht="15" hidden="false" customHeight="false" outlineLevel="0" collapsed="false">
      <c r="A23" s="3" t="s">
        <v>46</v>
      </c>
      <c r="B23" s="16" t="n">
        <f aca="false">B22*(1+'Retornos anuais'!B23)</f>
        <v>413.233018601356</v>
      </c>
      <c r="C23" s="16" t="n">
        <f aca="false">C22*(1+'Retornos anuais'!C23)</f>
        <v>1031.52290992009</v>
      </c>
      <c r="D23" s="16" t="n">
        <f aca="false">D22*(1+'Retornos anuais'!J23)</f>
        <v>1883.89640329228</v>
      </c>
      <c r="E23" s="16" t="n">
        <f aca="false">E22*(1+'Retornos anuais'!F23)</f>
        <v>687.452140214011</v>
      </c>
      <c r="F23" s="16" t="n">
        <f aca="false">F22*(1+'Retornos anuais'!I23)</f>
        <v>1001.60914714098</v>
      </c>
      <c r="G23" s="16" t="n">
        <f aca="false">G22*(1+'Retornos anuais'!E23)</f>
        <v>285.222229884444</v>
      </c>
      <c r="H23" s="16" t="n">
        <f aca="false">H22*(1+'Retornos anuais'!D23)</f>
        <v>363.130417226744</v>
      </c>
    </row>
    <row r="24" customFormat="false" ht="15" hidden="false" customHeight="false" outlineLevel="0" collapsed="false">
      <c r="A24" s="3" t="s">
        <v>47</v>
      </c>
      <c r="B24" s="16" t="n">
        <f aca="false">B23*(1+'Retornos anuais'!B24)</f>
        <v>445.878427070863</v>
      </c>
      <c r="C24" s="16" t="n">
        <f aca="false">C23*(1+'Retornos anuais'!C24)</f>
        <v>1159.32859845919</v>
      </c>
      <c r="D24" s="16" t="n">
        <f aca="false">D23*(1+'Retornos anuais'!J24)</f>
        <v>1769.36963119514</v>
      </c>
      <c r="E24" s="16" t="n">
        <f aca="false">E23*(1+'Retornos anuais'!F24)</f>
        <v>719.762390804069</v>
      </c>
      <c r="F24" s="16" t="n">
        <f aca="false">F23*(1+'Retornos anuais'!I24)</f>
        <v>783.76066005154</v>
      </c>
      <c r="G24" s="16" t="n">
        <f aca="false">G23*(1+'Retornos anuais'!E24)</f>
        <v>266.682784941955</v>
      </c>
      <c r="H24" s="16" t="n">
        <f aca="false">H23*(1+'Retornos anuais'!D24)</f>
        <v>384.191981425895</v>
      </c>
    </row>
    <row r="25" customFormat="false" ht="15" hidden="false" customHeight="false" outlineLevel="0" collapsed="false">
      <c r="A25" s="3" t="s">
        <v>48</v>
      </c>
      <c r="B25" s="16" t="n">
        <f aca="false">B24*(1+'Retornos anuais'!B25)</f>
        <v>481.72705260736</v>
      </c>
      <c r="C25" s="16" t="n">
        <f aca="false">C24*(1+'Retornos anuais'!C25)</f>
        <v>1310.50504769827</v>
      </c>
      <c r="D25" s="16" t="n">
        <f aca="false">D24*(1+'Retornos anuais'!J25)</f>
        <v>1850.17744999967</v>
      </c>
      <c r="E25" s="16" t="n">
        <f aca="false">E24*(1+'Retornos anuais'!F25)</f>
        <v>880.269403953377</v>
      </c>
      <c r="F25" s="16" t="n">
        <f aca="false">F24*(1+'Retornos anuais'!I25)</f>
        <v>870.977546302075</v>
      </c>
      <c r="G25" s="16" t="n">
        <f aca="false">G24*(1+'Retornos anuais'!E25)</f>
        <v>247.481624426134</v>
      </c>
      <c r="H25" s="16" t="n">
        <f aca="false">H24*(1+'Retornos anuais'!D25)</f>
        <v>401.864812571486</v>
      </c>
    </row>
    <row r="26" customFormat="false" ht="15" hidden="false" customHeight="false" outlineLevel="0" collapsed="false">
      <c r="A26" s="3" t="s">
        <v>49</v>
      </c>
      <c r="B26" s="16" t="n">
        <f aca="false">B25*(1+'Retornos anuais'!B26)</f>
        <v>515.833327931961</v>
      </c>
      <c r="C26" s="16" t="n">
        <f aca="false">C25*(1+'Retornos anuais'!C26)</f>
        <v>1453.08799688785</v>
      </c>
      <c r="D26" s="16" t="n">
        <f aca="false">D25*(1+'Retornos anuais'!J26)</f>
        <v>3092.8546848243</v>
      </c>
      <c r="E26" s="16" t="n">
        <f aca="false">E25*(1+'Retornos anuais'!F26)</f>
        <v>788.721385942225</v>
      </c>
      <c r="F26" s="16" t="n">
        <f aca="false">F25*(1+'Retornos anuais'!I26)</f>
        <v>1429.23670144721</v>
      </c>
      <c r="G26" s="16" t="n">
        <f aca="false">G25*(1+'Retornos anuais'!E26)</f>
        <v>316.528997641026</v>
      </c>
      <c r="H26" s="16" t="n">
        <f aca="false">H25*(1+'Retornos anuais'!D26)</f>
        <v>421.154323574917</v>
      </c>
    </row>
    <row r="27" customFormat="false" ht="15" hidden="false" customHeight="false" outlineLevel="0" collapsed="false">
      <c r="A27" s="3" t="s">
        <v>50</v>
      </c>
      <c r="B27" s="16" t="n">
        <f aca="false">B26*(1+'Retornos anuais'!B27)</f>
        <v>558.389577486348</v>
      </c>
      <c r="C27" s="16" t="n">
        <f aca="false">C26*(1+'Retornos anuais'!C27)</f>
        <v>1661.31550684187</v>
      </c>
      <c r="D27" s="16" t="n">
        <f aca="false">D26*(1+'Retornos anuais'!J27)</f>
        <v>4472.32595806692</v>
      </c>
      <c r="E27" s="16" t="n">
        <f aca="false">E26*(1+'Retornos anuais'!F27)</f>
        <v>1056.49229646961</v>
      </c>
      <c r="F27" s="16" t="n">
        <f aca="false">F26*(1+'Retornos anuais'!I27)</f>
        <v>1447.94949748612</v>
      </c>
      <c r="G27" s="16" t="n">
        <f aca="false">G26*(1+'Retornos anuais'!E27)</f>
        <v>281.267667303815</v>
      </c>
      <c r="H27" s="16" t="n">
        <f aca="false">H26*(1+'Retornos anuais'!D27)</f>
        <v>439.095497759209</v>
      </c>
    </row>
    <row r="28" customFormat="false" ht="15" hidden="false" customHeight="false" outlineLevel="0" collapsed="false">
      <c r="A28" s="3" t="s">
        <v>51</v>
      </c>
      <c r="B28" s="16" t="n">
        <f aca="false">B27*(1+'Retornos anuais'!B28)</f>
        <v>592.67469754401</v>
      </c>
      <c r="C28" s="16" t="n">
        <f aca="false">C27*(1+'Retornos anuais'!C28)</f>
        <v>1835.75363506027</v>
      </c>
      <c r="D28" s="16" t="n">
        <f aca="false">D27*(1+'Retornos anuais'!J28)</f>
        <v>4211.86252438113</v>
      </c>
      <c r="E28" s="16" t="n">
        <f aca="false">E27*(1+'Retornos anuais'!F28)</f>
        <v>1221.83334086711</v>
      </c>
      <c r="F28" s="16" t="n">
        <f aca="false">F27*(1+'Retornos anuais'!I28)</f>
        <v>1522.52810556546</v>
      </c>
      <c r="G28" s="16" t="n">
        <f aca="false">G27*(1+'Retornos anuais'!E28)</f>
        <v>264.279100198665</v>
      </c>
      <c r="H28" s="16" t="n">
        <f aca="false">H27*(1+'Retornos anuais'!D28)</f>
        <v>456.439769920698</v>
      </c>
    </row>
    <row r="30" customFormat="false" ht="15" hidden="false" customHeight="false" outlineLevel="0" collapsed="false">
      <c r="A30" s="6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8" min="2" style="0" width="14"/>
  </cols>
  <sheetData>
    <row r="1" customFormat="false" ht="30" hidden="false" customHeight="true" outlineLevel="0" collapsed="false">
      <c r="A1" s="7" t="s">
        <v>20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</row>
    <row r="2" customFormat="false" ht="15" hidden="false" customHeight="false" outlineLevel="0" collapsed="false">
      <c r="A2" s="3" t="s">
        <v>30</v>
      </c>
      <c r="B2" s="15" t="n">
        <v>100</v>
      </c>
      <c r="C2" s="15" t="n">
        <v>100</v>
      </c>
      <c r="D2" s="15" t="n">
        <v>100</v>
      </c>
      <c r="E2" s="15" t="n">
        <v>100</v>
      </c>
      <c r="F2" s="15" t="n">
        <v>100</v>
      </c>
      <c r="G2" s="15" t="n">
        <v>100</v>
      </c>
      <c r="H2" s="15" t="n">
        <v>100</v>
      </c>
    </row>
    <row r="3" customFormat="false" ht="15" hidden="false" customHeight="false" outlineLevel="0" collapsed="false">
      <c r="A3" s="3" t="s">
        <v>31</v>
      </c>
      <c r="B3" s="16" t="n">
        <f aca="false">B2*(1+'Retornos anuais'!B8)</f>
        <v>108.32</v>
      </c>
      <c r="C3" s="16" t="n">
        <f aca="false">C2*(1+'Retornos anuais'!C8)</f>
        <v>115.04</v>
      </c>
      <c r="D3" s="16" t="n">
        <f aca="false">D2*(1+'Retornos anuais'!J8)</f>
        <v>112.78289</v>
      </c>
      <c r="E3" s="16" t="n">
        <f aca="false">E2*(1+'Retornos anuais'!F8)</f>
        <v>132.9</v>
      </c>
      <c r="F3" s="16" t="n">
        <f aca="false">F2*(1+'Retornos anuais'!I8)</f>
        <v>102.46599</v>
      </c>
      <c r="G3" s="16" t="n">
        <f aca="false">G2*(1+'Retornos anuais'!E8)</f>
        <v>91.3</v>
      </c>
      <c r="H3" s="16" t="n">
        <f aca="false">H2*(1+'Retornos anuais'!D8)</f>
        <v>103.1</v>
      </c>
    </row>
    <row r="4" customFormat="false" ht="15" hidden="false" customHeight="false" outlineLevel="0" collapsed="false">
      <c r="A4" s="3" t="s">
        <v>32</v>
      </c>
      <c r="B4" s="16" t="n">
        <f aca="false">B3*(1+'Retornos anuais'!B9)</f>
        <v>116.671472</v>
      </c>
      <c r="C4" s="16" t="n">
        <f aca="false">C3*(1+'Retornos anuais'!C9)</f>
        <v>128.626224</v>
      </c>
      <c r="D4" s="16" t="n">
        <f aca="false">D3*(1+'Retornos anuais'!J9)</f>
        <v>119.027543279832</v>
      </c>
      <c r="E4" s="16" t="n">
        <f aca="false">E3*(1+'Retornos anuais'!F9)</f>
        <v>190.9773</v>
      </c>
      <c r="F4" s="16" t="n">
        <f aca="false">F3*(1+'Retornos anuais'!I9)</f>
        <v>88.600333219596</v>
      </c>
      <c r="G4" s="16" t="n">
        <f aca="false">G3*(1+'Retornos anuais'!E9)</f>
        <v>75.5964</v>
      </c>
      <c r="H4" s="16" t="n">
        <f aca="false">H3*(1+'Retornos anuais'!D9)</f>
        <v>107.7395</v>
      </c>
    </row>
    <row r="5" customFormat="false" ht="15" hidden="false" customHeight="false" outlineLevel="0" collapsed="false">
      <c r="A5" s="3" t="s">
        <v>33</v>
      </c>
      <c r="B5" s="16" t="n">
        <f aca="false">B4*(1+'Retornos anuais'!B10)</f>
        <v>125.888518288</v>
      </c>
      <c r="C5" s="16" t="n">
        <f aca="false">C4*(1+'Retornos anuais'!C10)</f>
        <v>144.5501505312</v>
      </c>
      <c r="D5" s="16" t="n">
        <f aca="false">D4*(1+'Retornos anuais'!J10)</f>
        <v>159.540686325393</v>
      </c>
      <c r="E5" s="16" t="n">
        <f aca="false">E4*(1+'Retornos anuais'!F10)</f>
        <v>112.2946524</v>
      </c>
      <c r="F5" s="16" t="n">
        <f aca="false">F4*(1+'Retornos anuais'!I10)</f>
        <v>69.3353159852268</v>
      </c>
      <c r="G5" s="16" t="n">
        <f aca="false">G4*(1+'Retornos anuais'!E10)</f>
        <v>99.7116516</v>
      </c>
      <c r="H5" s="16" t="n">
        <f aca="false">H4*(1+'Retornos anuais'!D10)</f>
        <v>114.0961305</v>
      </c>
    </row>
    <row r="6" customFormat="false" ht="15" hidden="false" customHeight="false" outlineLevel="0" collapsed="false">
      <c r="A6" s="3" t="s">
        <v>34</v>
      </c>
      <c r="B6" s="16" t="n">
        <f aca="false">B5*(1+'Retornos anuais'!B11)</f>
        <v>134.612592605358</v>
      </c>
      <c r="C6" s="16" t="n">
        <f aca="false">C5*(1+'Retornos anuais'!C11)</f>
        <v>158.817250388629</v>
      </c>
      <c r="D6" s="16" t="n">
        <f aca="false">D5*(1+'Retornos anuais'!J11)</f>
        <v>165.319329754442</v>
      </c>
      <c r="E6" s="16" t="n">
        <f aca="false">E5*(1+'Retornos anuais'!F11)</f>
        <v>205.1623299348</v>
      </c>
      <c r="F6" s="16" t="n">
        <f aca="false">F5*(1+'Retornos anuais'!I11)</f>
        <v>65.3588316105</v>
      </c>
      <c r="G6" s="16" t="n">
        <f aca="false">G5*(1+'Retornos anuais'!E11)</f>
        <v>74.285180442</v>
      </c>
      <c r="H6" s="16" t="n">
        <f aca="false">H5*(1+'Retornos anuais'!D11)</f>
        <v>119.0022641115</v>
      </c>
    </row>
    <row r="7" customFormat="false" ht="15" hidden="false" customHeight="false" outlineLevel="0" collapsed="false">
      <c r="A7" s="3" t="s">
        <v>35</v>
      </c>
      <c r="B7" s="16" t="n">
        <f aca="false">B6*(1+'Retornos anuais'!B12)</f>
        <v>143.900861495128</v>
      </c>
      <c r="C7" s="16" t="n">
        <f aca="false">C6*(1+'Retornos anuais'!C12)</f>
        <v>174.31781402656</v>
      </c>
      <c r="D7" s="16" t="n">
        <f aca="false">D6*(1+'Retornos anuais'!J12)</f>
        <v>193.902909613521</v>
      </c>
      <c r="E7" s="16" t="n">
        <f aca="false">E6*(1+'Retornos anuais'!F12)</f>
        <v>207.213953234148</v>
      </c>
      <c r="F7" s="16" t="n">
        <f aca="false">F6*(1+'Retornos anuais'!I12)</f>
        <v>69.935368109881</v>
      </c>
      <c r="G7" s="16" t="n">
        <f aca="false">G6*(1+'Retornos anuais'!E12)</f>
        <v>71.090917682994</v>
      </c>
      <c r="H7" s="16" t="n">
        <f aca="false">H6*(1+'Retornos anuais'!D12)</f>
        <v>126.023397694078</v>
      </c>
    </row>
    <row r="8" customFormat="false" ht="15" hidden="false" customHeight="false" outlineLevel="0" collapsed="false">
      <c r="A8" s="3" t="s">
        <v>36</v>
      </c>
      <c r="B8" s="16" t="n">
        <f aca="false">B7*(1+'Retornos anuais'!B13)</f>
        <v>154.592695504216</v>
      </c>
      <c r="C8" s="16" t="n">
        <f aca="false">C7*(1+'Retornos anuais'!C13)</f>
        <v>194.521248672238</v>
      </c>
      <c r="D8" s="16" t="n">
        <f aca="false">D7*(1+'Retornos anuais'!J13)</f>
        <v>257.416583269069</v>
      </c>
      <c r="E8" s="16" t="n">
        <f aca="false">E7*(1+'Retornos anuais'!F13)</f>
        <v>169.708227698767</v>
      </c>
      <c r="F8" s="16" t="n">
        <f aca="false">F7*(1+'Retornos anuais'!I13)</f>
        <v>78.8574706060144</v>
      </c>
      <c r="G8" s="16" t="n">
        <f aca="false">G7*(1+'Retornos anuais'!E13)</f>
        <v>80.0483733110512</v>
      </c>
      <c r="H8" s="16" t="n">
        <f aca="false">H7*(1+'Retornos anuais'!D13)</f>
        <v>134.214918544194</v>
      </c>
    </row>
    <row r="9" customFormat="false" ht="15" hidden="false" customHeight="false" outlineLevel="0" collapsed="false">
      <c r="A9" s="3" t="s">
        <v>37</v>
      </c>
      <c r="B9" s="16" t="n">
        <f aca="false">B8*(1+'Retornos anuais'!B14)</f>
        <v>163.89917577357</v>
      </c>
      <c r="C9" s="16" t="n">
        <f aca="false">C8*(1+'Retornos anuais'!C14)</f>
        <v>210.880485685573</v>
      </c>
      <c r="D9" s="16" t="n">
        <f aca="false">D8*(1+'Retornos anuais'!J14)</f>
        <v>288.007609641548</v>
      </c>
      <c r="E9" s="16" t="n">
        <f aca="false">E8*(1+'Retornos anuais'!F14)</f>
        <v>182.266636548476</v>
      </c>
      <c r="F9" s="16" t="n">
        <f aca="false">F8*(1+'Retornos anuais'!I14)</f>
        <v>98.2333110219534</v>
      </c>
      <c r="G9" s="16" t="n">
        <f aca="false">G8*(1+'Retornos anuais'!E14)</f>
        <v>87.1726785357348</v>
      </c>
      <c r="H9" s="16" t="n">
        <f aca="false">H8*(1+'Retornos anuais'!D14)</f>
        <v>141.999383819757</v>
      </c>
    </row>
    <row r="10" customFormat="false" ht="15" hidden="false" customHeight="false" outlineLevel="0" collapsed="false">
      <c r="A10" s="3" t="s">
        <v>38</v>
      </c>
      <c r="B10" s="16" t="n">
        <f aca="false">B9*(1+'Retornos anuais'!B15)</f>
        <v>173.421717886014</v>
      </c>
      <c r="C10" s="16" t="n">
        <f aca="false">C9*(1+'Retornos anuais'!C15)</f>
        <v>227.87745283183</v>
      </c>
      <c r="D10" s="16" t="n">
        <f aca="false">D9*(1+'Retornos anuais'!J15)</f>
        <v>239.35713381481</v>
      </c>
      <c r="E10" s="16" t="n">
        <f aca="false">E9*(1+'Retornos anuais'!F15)</f>
        <v>154.015307883462</v>
      </c>
      <c r="F10" s="16" t="n">
        <f aca="false">F9*(1+'Retornos anuais'!I15)</f>
        <v>143.083300902003</v>
      </c>
      <c r="G10" s="16" t="n">
        <f aca="false">G9*(1+'Retornos anuais'!E15)</f>
        <v>99.899889601952</v>
      </c>
      <c r="H10" s="16" t="n">
        <f aca="false">H9*(1+'Retornos anuais'!D15)</f>
        <v>150.377347465122</v>
      </c>
    </row>
    <row r="11" customFormat="false" ht="15" hidden="false" customHeight="false" outlineLevel="0" collapsed="false">
      <c r="A11" s="3" t="s">
        <v>39</v>
      </c>
      <c r="B11" s="16" t="n">
        <f aca="false">B10*(1+'Retornos anuais'!B16)</f>
        <v>185.699975512344</v>
      </c>
      <c r="C11" s="16" t="n">
        <f aca="false">C10*(1+'Retornos anuais'!C16)</f>
        <v>252.533793228234</v>
      </c>
      <c r="D11" s="16" t="n">
        <f aca="false">D10*(1+'Retornos anuais'!J16)</f>
        <v>266.762376722364</v>
      </c>
      <c r="E11" s="16" t="n">
        <f aca="false">E10*(1+'Retornos anuais'!F16)</f>
        <v>149.548863954842</v>
      </c>
      <c r="F11" s="16" t="n">
        <f aca="false">F10*(1+'Retornos anuais'!I16)</f>
        <v>184.372019160148</v>
      </c>
      <c r="G11" s="16" t="n">
        <f aca="false">G10*(1+'Retornos anuais'!E16)</f>
        <v>113.286474808614</v>
      </c>
      <c r="H11" s="16" t="n">
        <f aca="false">H10*(1+'Retornos anuais'!D16)</f>
        <v>160.00149770289</v>
      </c>
    </row>
    <row r="12" customFormat="false" ht="15" hidden="false" customHeight="false" outlineLevel="0" collapsed="false">
      <c r="A12" s="3" t="s">
        <v>40</v>
      </c>
      <c r="B12" s="16" t="n">
        <f aca="false">B11*(1+'Retornos anuais'!B17)</f>
        <v>200.68596353619</v>
      </c>
      <c r="C12" s="16" t="n">
        <f aca="false">C11*(1+'Retornos anuais'!C17)</f>
        <v>286.019774210298</v>
      </c>
      <c r="D12" s="16" t="n">
        <f aca="false">D11*(1+'Retornos anuais'!J17)</f>
        <v>351.318847559181</v>
      </c>
      <c r="E12" s="16" t="n">
        <f aca="false">E11*(1+'Retornos anuais'!F17)</f>
        <v>129.658865048848</v>
      </c>
      <c r="F12" s="16" t="n">
        <f aca="false">F11*(1+'Retornos anuais'!I17)</f>
        <v>270.999765478601</v>
      </c>
      <c r="G12" s="16" t="n">
        <f aca="false">G11*(1+'Retornos anuais'!E17)</f>
        <v>166.531117968662</v>
      </c>
      <c r="H12" s="16" t="n">
        <f aca="false">H11*(1+'Retornos anuais'!D17)</f>
        <v>177.1216579571</v>
      </c>
    </row>
    <row r="13" customFormat="false" ht="15" hidden="false" customHeight="false" outlineLevel="0" collapsed="false">
      <c r="A13" s="3" t="s">
        <v>41</v>
      </c>
      <c r="B13" s="16" t="n">
        <f aca="false">B12*(1+'Retornos anuais'!B18)</f>
        <v>217.342898509694</v>
      </c>
      <c r="C13" s="16" t="n">
        <f aca="false">C12*(1+'Retornos anuais'!C18)</f>
        <v>326.033940622319</v>
      </c>
      <c r="D13" s="16" t="n">
        <f aca="false">D12*(1+'Retornos anuais'!J18)</f>
        <v>315.440585911624</v>
      </c>
      <c r="E13" s="16" t="n">
        <f aca="false">E12*(1+'Retornos anuais'!F18)</f>
        <v>180.09616355285</v>
      </c>
      <c r="F13" s="16" t="n">
        <f aca="false">F12*(1+'Retornos anuais'!I18)</f>
        <v>247.487690325795</v>
      </c>
      <c r="G13" s="16" t="n">
        <f aca="false">G12*(1+'Retornos anuais'!E18)</f>
        <v>139.053483503833</v>
      </c>
      <c r="H13" s="16" t="n">
        <f aca="false">H12*(1+'Retornos anuais'!D18)</f>
        <v>188.280322408397</v>
      </c>
    </row>
    <row r="14" customFormat="false" ht="15" hidden="false" customHeight="false" outlineLevel="0" collapsed="false">
      <c r="A14" s="3" t="s">
        <v>42</v>
      </c>
      <c r="B14" s="16" t="n">
        <f aca="false">B13*(1+'Retornos anuais'!B19)</f>
        <v>231.709264101185</v>
      </c>
      <c r="C14" s="16" t="n">
        <f aca="false">C13*(1+'Retornos anuais'!C19)</f>
        <v>358.409110926115</v>
      </c>
      <c r="D14" s="16" t="n">
        <f aca="false">D13*(1+'Retornos anuais'!J19)</f>
        <v>349.788122710076</v>
      </c>
      <c r="E14" s="16" t="n">
        <f aca="false">E13*(1+'Retornos anuais'!F19)</f>
        <v>228.542031548566</v>
      </c>
      <c r="F14" s="16" t="n">
        <f aca="false">F13*(1+'Retornos anuais'!I19)</f>
        <v>297.898086736721</v>
      </c>
      <c r="G14" s="16" t="n">
        <f aca="false">G13*(1+'Retornos anuais'!E19)</f>
        <v>141.13928575639</v>
      </c>
      <c r="H14" s="16" t="n">
        <f aca="false">H13*(1+'Retornos anuais'!D19)</f>
        <v>193.74045175824</v>
      </c>
    </row>
    <row r="15" customFormat="false" ht="15" hidden="false" customHeight="false" outlineLevel="0" collapsed="false">
      <c r="A15" s="3" t="s">
        <v>43</v>
      </c>
      <c r="B15" s="16" t="n">
        <f aca="false">B14*(1+'Retornos anuais'!B20)</f>
        <v>242.41423210266</v>
      </c>
      <c r="C15" s="16" t="n">
        <f aca="false">C14*(1+'Retornos anuais'!C20)</f>
        <v>381.383134936479</v>
      </c>
      <c r="D15" s="16" t="n">
        <f aca="false">D14*(1+'Retornos anuais'!J20)</f>
        <v>405.055310695701</v>
      </c>
      <c r="E15" s="16" t="n">
        <f aca="false">E14*(1+'Retornos anuais'!F20)</f>
        <v>262.823336280851</v>
      </c>
      <c r="F15" s="16" t="n">
        <f aca="false">F14*(1+'Retornos anuais'!I20)</f>
        <v>336.1409323604</v>
      </c>
      <c r="G15" s="16" t="n">
        <f aca="false">G14*(1+'Retornos anuais'!E20)</f>
        <v>165.274103620733</v>
      </c>
      <c r="H15" s="16" t="n">
        <f aca="false">H14*(1+'Retornos anuais'!D20)</f>
        <v>200.908848473295</v>
      </c>
    </row>
    <row r="16" customFormat="false" ht="15" hidden="false" customHeight="false" outlineLevel="0" collapsed="false">
      <c r="A16" s="3" t="s">
        <v>44</v>
      </c>
      <c r="B16" s="16" t="n">
        <f aca="false">B15*(1+'Retornos anuais'!B21)</f>
        <v>252.741078390233</v>
      </c>
      <c r="C16" s="16" t="n">
        <f aca="false">C15*(1+'Retornos anuais'!C21)</f>
        <v>404.0754314652</v>
      </c>
      <c r="D16" s="16" t="n">
        <f aca="false">D15*(1+'Retornos anuais'!J21)</f>
        <v>498.43190135976</v>
      </c>
      <c r="E16" s="16" t="n">
        <f aca="false">E15*(1+'Retornos anuais'!F21)</f>
        <v>345.8755105456</v>
      </c>
      <c r="F16" s="16" t="n">
        <f aca="false">F15*(1+'Retornos anuais'!I21)</f>
        <v>432.578421290869</v>
      </c>
      <c r="G16" s="16" t="n">
        <f aca="false">G15*(1+'Retornos anuais'!E21)</f>
        <v>171.885067765562</v>
      </c>
      <c r="H16" s="16" t="n">
        <f aca="false">H15*(1+'Retornos anuais'!D21)</f>
        <v>209.547928957647</v>
      </c>
    </row>
    <row r="17" customFormat="false" ht="15" hidden="false" customHeight="false" outlineLevel="0" collapsed="false">
      <c r="A17" s="3" t="s">
        <v>45</v>
      </c>
      <c r="B17" s="16" t="n">
        <f aca="false">B16*(1+'Retornos anuais'!B22)</f>
        <v>258.073915144267</v>
      </c>
      <c r="C17" s="16" t="n">
        <f aca="false">C16*(1+'Retornos anuais'!C22)</f>
        <v>415.187505830493</v>
      </c>
      <c r="D17" s="16" t="n">
        <f aca="false">D16*(1+'Retornos anuais'!J22)</f>
        <v>807.146017007285</v>
      </c>
      <c r="E17" s="16" t="n">
        <f aca="false">E16*(1+'Retornos anuais'!F22)</f>
        <v>355.905900351423</v>
      </c>
      <c r="F17" s="16" t="n">
        <f aca="false">F16*(1+'Retornos anuais'!I22)</f>
        <v>648.592858123099</v>
      </c>
      <c r="G17" s="16" t="n">
        <f aca="false">G16*(1+'Retornos anuais'!E22)</f>
        <v>221.55985234981</v>
      </c>
      <c r="H17" s="16" t="n">
        <f aca="false">H16*(1+'Retornos anuais'!D22)</f>
        <v>218.977585760741</v>
      </c>
    </row>
    <row r="18" customFormat="false" ht="15" hidden="false" customHeight="false" outlineLevel="0" collapsed="false">
      <c r="A18" s="3" t="s">
        <v>46</v>
      </c>
      <c r="B18" s="16" t="n">
        <f aca="false">B17*(1+'Retornos anuais'!B23)</f>
        <v>265.79032520708</v>
      </c>
      <c r="C18" s="16" t="n">
        <f aca="false">C17*(1+'Retornos anuais'!C23)</f>
        <v>433.538793588201</v>
      </c>
      <c r="D18" s="16" t="n">
        <f aca="false">D17*(1+'Retornos anuais'!J23)</f>
        <v>835.147203770895</v>
      </c>
      <c r="E18" s="16" t="n">
        <f aca="false">E17*(1+'Retornos anuais'!F23)</f>
        <v>313.553098209603</v>
      </c>
      <c r="F18" s="16" t="n">
        <f aca="false">F17*(1+'Retornos anuais'!I23)</f>
        <v>881.254401847586</v>
      </c>
      <c r="G18" s="16" t="n">
        <f aca="false">G17*(1+'Retornos anuais'!E23)</f>
        <v>237.955281423696</v>
      </c>
      <c r="H18" s="16" t="n">
        <f aca="false">H17*(1+'Retornos anuais'!D23)</f>
        <v>241.094321922576</v>
      </c>
    </row>
    <row r="19" customFormat="false" ht="15" hidden="false" customHeight="false" outlineLevel="0" collapsed="false">
      <c r="A19" s="3" t="s">
        <v>47</v>
      </c>
      <c r="B19" s="16" t="n">
        <f aca="false">B18*(1+'Retornos anuais'!B24)</f>
        <v>286.78776089844</v>
      </c>
      <c r="C19" s="16" t="n">
        <f aca="false">C18*(1+'Retornos anuais'!C24)</f>
        <v>487.254250113779</v>
      </c>
      <c r="D19" s="16" t="n">
        <f aca="false">D18*(1+'Retornos anuais'!J24)</f>
        <v>784.376517385653</v>
      </c>
      <c r="E19" s="16" t="n">
        <f aca="false">E18*(1+'Retornos anuais'!F24)</f>
        <v>328.290093825455</v>
      </c>
      <c r="F19" s="16" t="n">
        <f aca="false">F18*(1+'Retornos anuais'!I24)</f>
        <v>689.582891327339</v>
      </c>
      <c r="G19" s="16" t="n">
        <f aca="false">G18*(1+'Retornos anuais'!E24)</f>
        <v>222.488188131155</v>
      </c>
      <c r="H19" s="16" t="n">
        <f aca="false">H18*(1+'Retornos anuais'!D24)</f>
        <v>255.077792594085</v>
      </c>
    </row>
    <row r="20" customFormat="false" ht="15" hidden="false" customHeight="false" outlineLevel="0" collapsed="false">
      <c r="A20" s="3" t="s">
        <v>48</v>
      </c>
      <c r="B20" s="16" t="n">
        <f aca="false">B19*(1+'Retornos anuais'!B25)</f>
        <v>309.845496874674</v>
      </c>
      <c r="C20" s="16" t="n">
        <f aca="false">C19*(1+'Retornos anuais'!C25)</f>
        <v>550.792204328615</v>
      </c>
      <c r="D20" s="16" t="n">
        <f aca="false">D19*(1+'Retornos anuais'!J25)</f>
        <v>820.199306685262</v>
      </c>
      <c r="E20" s="16" t="n">
        <f aca="false">E19*(1+'Retornos anuais'!F25)</f>
        <v>401.498784748531</v>
      </c>
      <c r="F20" s="16" t="n">
        <f aca="false">F19*(1+'Retornos anuais'!I25)</f>
        <v>766.319675474245</v>
      </c>
      <c r="G20" s="16" t="n">
        <f aca="false">G19*(1+'Retornos anuais'!E25)</f>
        <v>206.469038585712</v>
      </c>
      <c r="H20" s="16" t="n">
        <f aca="false">H19*(1+'Retornos anuais'!D25)</f>
        <v>266.811371053413</v>
      </c>
    </row>
    <row r="21" customFormat="false" ht="15" hidden="false" customHeight="false" outlineLevel="0" collapsed="false">
      <c r="A21" s="3" t="s">
        <v>49</v>
      </c>
      <c r="B21" s="16" t="n">
        <f aca="false">B20*(1+'Retornos anuais'!B26)</f>
        <v>331.782558053401</v>
      </c>
      <c r="C21" s="16" t="n">
        <f aca="false">C20*(1+'Retornos anuais'!C26)</f>
        <v>610.718396159569</v>
      </c>
      <c r="D21" s="16" t="n">
        <f aca="false">D20*(1+'Retornos anuais'!J26)</f>
        <v>1371.08863161834</v>
      </c>
      <c r="E21" s="16" t="n">
        <f aca="false">E20*(1+'Retornos anuais'!F26)</f>
        <v>359.742911134684</v>
      </c>
      <c r="F21" s="16" t="n">
        <f aca="false">F20*(1+'Retornos anuais'!I26)</f>
        <v>1257.49763570719</v>
      </c>
      <c r="G21" s="16" t="n">
        <f aca="false">G20*(1+'Retornos anuais'!E26)</f>
        <v>264.073900351126</v>
      </c>
      <c r="H21" s="16" t="n">
        <f aca="false">H20*(1+'Retornos anuais'!D26)</f>
        <v>279.618316863977</v>
      </c>
    </row>
    <row r="22" customFormat="false" ht="15" hidden="false" customHeight="false" outlineLevel="0" collapsed="false">
      <c r="A22" s="3" t="s">
        <v>50</v>
      </c>
      <c r="B22" s="16" t="n">
        <f aca="false">B21*(1+'Retornos anuais'!B27)</f>
        <v>359.154619092807</v>
      </c>
      <c r="C22" s="16" t="n">
        <f aca="false">C21*(1+'Retornos anuais'!C27)</f>
        <v>698.234342329235</v>
      </c>
      <c r="D22" s="16" t="n">
        <f aca="false">D21*(1+'Retornos anuais'!J27)</f>
        <v>1982.61991036462</v>
      </c>
      <c r="E22" s="16" t="n">
        <f aca="false">E21*(1+'Retornos anuais'!F27)</f>
        <v>481.875629464909</v>
      </c>
      <c r="F22" s="16" t="n">
        <f aca="false">F21*(1+'Retornos anuais'!I27)</f>
        <v>1273.96187620184</v>
      </c>
      <c r="G22" s="16" t="n">
        <f aca="false">G21*(1+'Retornos anuais'!E27)</f>
        <v>234.656067852011</v>
      </c>
      <c r="H22" s="16" t="n">
        <f aca="false">H21*(1+'Retornos anuais'!D27)</f>
        <v>291.530057162382</v>
      </c>
    </row>
    <row r="23" customFormat="false" ht="15" hidden="false" customHeight="false" outlineLevel="0" collapsed="false">
      <c r="A23" s="3" t="s">
        <v>51</v>
      </c>
      <c r="B23" s="16" t="n">
        <f aca="false">B22*(1+'Retornos anuais'!B28)</f>
        <v>381.206712705105</v>
      </c>
      <c r="C23" s="16" t="n">
        <f aca="false">C22*(1+'Retornos anuais'!C28)</f>
        <v>771.548948273805</v>
      </c>
      <c r="D23" s="16" t="n">
        <f aca="false">D22*(1+'Retornos anuais'!J28)</f>
        <v>1867.15426801449</v>
      </c>
      <c r="E23" s="16" t="n">
        <f aca="false">E22*(1+'Retornos anuais'!F28)</f>
        <v>557.289165476167</v>
      </c>
      <c r="F23" s="16" t="n">
        <f aca="false">F22*(1+'Retornos anuais'!I28)</f>
        <v>1339.57901522376</v>
      </c>
      <c r="G23" s="16" t="n">
        <f aca="false">G22*(1+'Retornos anuais'!E28)</f>
        <v>220.482841353749</v>
      </c>
      <c r="H23" s="16" t="n">
        <f aca="false">H22*(1+'Retornos anuais'!D28)</f>
        <v>303.045494420296</v>
      </c>
    </row>
    <row r="25" customFormat="false" ht="15" hidden="false" customHeight="false" outlineLevel="0" collapsed="false">
      <c r="A25" s="6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7" t="s">
        <v>59</v>
      </c>
      <c r="B1" s="18" t="s">
        <v>60</v>
      </c>
    </row>
    <row r="2" customFormat="false" ht="23.85" hidden="false" customHeight="false" outlineLevel="0" collapsed="false">
      <c r="A2" s="19" t="s">
        <v>61</v>
      </c>
      <c r="B2" s="20" t="s">
        <v>62</v>
      </c>
    </row>
    <row r="3" customFormat="false" ht="15" hidden="false" customHeight="false" outlineLevel="0" collapsed="false">
      <c r="A3" s="19" t="s">
        <v>21</v>
      </c>
      <c r="B3" s="20" t="s">
        <v>63</v>
      </c>
    </row>
    <row r="4" customFormat="false" ht="23.85" hidden="false" customHeight="false" outlineLevel="0" collapsed="false">
      <c r="A4" s="19" t="s">
        <v>16</v>
      </c>
      <c r="B4" s="20" t="s">
        <v>64</v>
      </c>
    </row>
    <row r="5" customFormat="false" ht="23.85" hidden="false" customHeight="false" outlineLevel="0" collapsed="false">
      <c r="A5" s="19" t="s">
        <v>14</v>
      </c>
      <c r="B5" s="20" t="s">
        <v>65</v>
      </c>
    </row>
    <row r="6" customFormat="false" ht="23.85" hidden="false" customHeight="false" outlineLevel="0" collapsed="false">
      <c r="A6" s="19" t="s">
        <v>11</v>
      </c>
      <c r="B6" s="20" t="s">
        <v>66</v>
      </c>
    </row>
    <row r="7" customFormat="false" ht="23.85" hidden="false" customHeight="false" outlineLevel="0" collapsed="false">
      <c r="A7" s="19" t="s">
        <v>23</v>
      </c>
      <c r="B7" s="20" t="s">
        <v>67</v>
      </c>
    </row>
    <row r="8" customFormat="false" ht="15" hidden="false" customHeight="false" outlineLevel="0" collapsed="false">
      <c r="A8" s="19" t="s">
        <v>24</v>
      </c>
      <c r="B8" s="20" t="s">
        <v>68</v>
      </c>
    </row>
    <row r="9" customFormat="false" ht="23.85" hidden="false" customHeight="false" outlineLevel="0" collapsed="false">
      <c r="A9" s="19" t="s">
        <v>69</v>
      </c>
      <c r="B9" s="20" t="s">
        <v>70</v>
      </c>
    </row>
    <row r="10" customFormat="false" ht="23.85" hidden="false" customHeight="false" outlineLevel="0" collapsed="false">
      <c r="A10" s="19" t="s">
        <v>71</v>
      </c>
      <c r="B10" s="20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2026-10-24T05:00:37Z</dcterms:created>
  <dc:creator>openpyxl</dc:creator>
  <dc:description/>
  <dc:language>en-US</dc:language>
  <cp:lastModifiedBy/>
  <dcterms:modified xsi:type="dcterms:W3CDTF">2026-10-24T05:00:37Z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